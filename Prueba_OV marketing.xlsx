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2" firstSheet="2" activeTab="4" autoFilterDateGrouping="1"/>
  </bookViews>
  <sheets>
    <sheet name="Resultado" sheetId="1" state="visible" r:id="rId1"/>
    <sheet name="Instrucciones Dynamics" sheetId="2" state="visible" r:id="rId2"/>
    <sheet name="Costco" sheetId="3" state="hidden" r:id="rId3"/>
    <sheet name="Form C" sheetId="4" state="hidden" r:id="rId4"/>
    <sheet name="E-commerce" sheetId="5" state="visible" r:id="rId5"/>
    <sheet name="Hoja1" sheetId="6" state="visible" r:id="rId6"/>
    <sheet name=" 20 % DESC ENE AMZ" sheetId="7" state="hidden" r:id="rId7"/>
    <sheet name="AMZ" sheetId="8" state="visible" r:id="rId8"/>
    <sheet name="ML" sheetId="9" state="visible" r:id="rId9"/>
    <sheet name="JT" sheetId="10" state="visible" r:id="rId10"/>
    <sheet name="MUESTRAS" sheetId="11" state="hidden" r:id="rId11"/>
    <sheet name="KITS" sheetId="12" state="visible" r:id="rId12"/>
    <sheet name="OUTLET ENE 24" sheetId="13" state="hidden" r:id="rId13"/>
    <sheet name="PreciosACT23" sheetId="14" state="hidden" r:id="rId14"/>
    <sheet name="Buen fin" sheetId="15" state="hidden" r:id="rId15"/>
    <sheet name="Form Ecom" sheetId="16" state="hidden" r:id="rId16"/>
    <sheet name="KITS JFY ACT 23" sheetId="17" state="hidden" r:id="rId17"/>
    <sheet name="OUTLET 26.07.23" sheetId="18" state="hidden" r:id="rId18"/>
    <sheet name="Precios (3)" sheetId="19" state="hidden" r:id="rId19"/>
    <sheet name="Historial" sheetId="20" state="visible" r:id="rId20"/>
  </sheets>
  <definedNames>
    <definedName name="_xlnm._FilterDatabase" localSheetId="6" hidden="1">' 20 % DESC ENE AMZ'!$A$2:$F$15</definedName>
    <definedName name="_xlnm._FilterDatabase" localSheetId="13" hidden="1">'PreciosACT23'!$A$2:$E$100</definedName>
    <definedName name="_xlnm._FilterDatabase" localSheetId="14" hidden="1">'Buen fin'!$A$2:$F$95</definedName>
    <definedName name="_xlnm._FilterDatabase" localSheetId="15" hidden="1">'Form Ecom'!$A$2:$B$2</definedName>
    <definedName name="_xlnm._FilterDatabase" localSheetId="18" hidden="1">'Precios (3)'!$A$2:$F$86</definedName>
  </definedNames>
  <calcPr calcId="191029" fullCalcOnLoad="1"/>
  <pivotCaches>
    <pivotCache cacheId="1" r:id="rId21"/>
  </pivotCaches>
</workbook>
</file>

<file path=xl/styles.xml><?xml version="1.0" encoding="utf-8"?>
<styleSheet xmlns="http://schemas.openxmlformats.org/spreadsheetml/2006/main">
  <numFmts count="4">
    <numFmt numFmtId="164" formatCode="_-&quot;$&quot;* #,##0.00_-;\-&quot;$&quot;* #,##0.00_-;_-&quot;$&quot;* &quot;-&quot;??_-;_-@_-"/>
    <numFmt numFmtId="165" formatCode="&quot;$&quot;#,##0.00;[Red]\-&quot;$&quot;#,##0.00"/>
    <numFmt numFmtId="166" formatCode="_-&quot;$&quot;* #,##0.00_-;\-&quot;$&quot;* #,##0.00_-;_-&quot;$&quot;* &quot;-&quot;_-;_-@_-"/>
    <numFmt numFmtId="167" formatCode="&quot;$&quot;#,##0.00"/>
  </numFmts>
  <fonts count="7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ova"/>
      <family val="2"/>
      <color theme="1"/>
      <sz val="12"/>
    </font>
    <font>
      <name val="Arial Nova"/>
      <family val="2"/>
      <color theme="1"/>
      <sz val="11"/>
    </font>
    <font>
      <name val="Avenir Next LT Pro"/>
      <family val="2"/>
      <color theme="1"/>
      <sz val="11"/>
    </font>
    <font>
      <name val="Calibri"/>
      <family val="2"/>
      <color rgb="FF000000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Abadi Extra Light"/>
      <family val="2"/>
      <sz val="11"/>
    </font>
    <font>
      <name val="Abadi Extra Light"/>
      <family val="2"/>
      <b val="1"/>
      <color rgb="FF002060"/>
      <sz val="12"/>
    </font>
    <font>
      <name val="Verdana Pro Cond"/>
      <family val="2"/>
      <sz val="10"/>
    </font>
    <font>
      <name val="Calibri"/>
      <family val="2"/>
      <b val="1"/>
      <sz val="12"/>
      <scheme val="minor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1"/>
    </font>
    <font>
      <name val="Calibri"/>
      <family val="2"/>
      <color rgb="FF660099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rgb="FF002060"/>
      <sz val="11"/>
      <scheme val="minor"/>
    </font>
    <font>
      <name val="Calibri"/>
      <family val="2"/>
      <b val="1"/>
      <color rgb="FF002060"/>
      <sz val="9"/>
      <scheme val="minor"/>
    </font>
    <font>
      <name val="Calibri"/>
      <family val="2"/>
      <b val="1"/>
      <color rgb="FF002060"/>
      <sz val="7"/>
      <scheme val="minor"/>
    </font>
    <font>
      <name val="Calibri"/>
      <family val="2"/>
      <b val="1"/>
      <color rgb="FF002060"/>
      <sz val="7"/>
    </font>
    <font>
      <name val="Calibri"/>
      <family val="2"/>
      <color rgb="FF002060"/>
      <sz val="9"/>
      <scheme val="minor"/>
    </font>
    <font>
      <name val="Calibri"/>
      <family val="2"/>
      <color rgb="FF00206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8"/>
      <scheme val="minor"/>
    </font>
    <font>
      <name val="Calibri"/>
      <family val="2"/>
      <i val="1"/>
      <color theme="2" tint="-0.749992370372631"/>
      <sz val="10"/>
      <scheme val="minor"/>
    </font>
    <font>
      <name val="Calibri"/>
      <family val="2"/>
      <color rgb="FF000000"/>
      <sz val="11"/>
    </font>
    <font>
      <name val="Calibri"/>
      <family val="2"/>
      <i val="1"/>
      <color theme="2" tint="-0.749992370372631"/>
      <sz val="9"/>
      <scheme val="minor"/>
    </font>
    <font>
      <name val="Calibri"/>
      <family val="2"/>
      <b val="1"/>
      <color rgb="FFFFFFFF"/>
      <sz val="9"/>
    </font>
    <font>
      <name val="Calibri"/>
      <family val="2"/>
      <i val="1"/>
      <color theme="7" tint="-0.499984740745262"/>
      <sz val="8"/>
      <scheme val="minor"/>
    </font>
    <font>
      <name val="Calibri"/>
      <family val="2"/>
      <sz val="9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b val="1"/>
      <color rgb="FFFF0000"/>
      <sz val="9"/>
      <scheme val="minor"/>
    </font>
    <font>
      <name val="Calibri"/>
      <family val="2"/>
      <b val="1"/>
      <i val="1"/>
      <color rgb="FFFF0000"/>
      <sz val="10"/>
      <scheme val="minor"/>
    </font>
    <font>
      <name val="Tw Cen MT"/>
      <family val="2"/>
      <color theme="1"/>
      <sz val="11"/>
    </font>
    <font>
      <name val="Tw Cen MT"/>
      <family val="2"/>
      <b val="1"/>
      <color rgb="FF002060"/>
      <sz val="11"/>
    </font>
    <font>
      <name val="Tw Cen MT"/>
      <family val="2"/>
      <sz val="11"/>
    </font>
    <font>
      <name val="Calibri"/>
      <family val="2"/>
      <color indexed="8"/>
      <sz val="11"/>
      <scheme val="minor"/>
    </font>
    <font>
      <name val="Tw Cen MT"/>
      <family val="2"/>
      <b val="1"/>
      <color theme="8" tint="-0.249977111117893"/>
      <sz val="22"/>
    </font>
    <font>
      <name val="Tw Cen MT"/>
      <family val="2"/>
      <b val="1"/>
      <color theme="8" tint="-0.249977111117893"/>
      <sz val="18"/>
    </font>
    <font>
      <name val="Tw Cen MT"/>
      <family val="2"/>
      <b val="1"/>
      <color rgb="FF002060"/>
      <sz val="9"/>
    </font>
    <font>
      <name val="Tw Cen MT"/>
      <family val="2"/>
      <b val="1"/>
      <color rgb="FF002060"/>
      <sz val="7"/>
    </font>
    <font>
      <name val="Tw Cen MT"/>
      <family val="2"/>
      <color rgb="FF002060"/>
      <sz val="9"/>
    </font>
    <font>
      <name val="Tw Cen MT"/>
      <family val="2"/>
      <i val="1"/>
      <color theme="1"/>
      <sz val="11"/>
    </font>
    <font>
      <name val="Tw Cen MT"/>
      <family val="2"/>
      <b val="1"/>
      <color theme="1"/>
      <sz val="11"/>
    </font>
    <font>
      <name val="Tw Cen MT"/>
      <family val="2"/>
      <b val="1"/>
      <color theme="1"/>
      <sz val="18"/>
    </font>
    <font>
      <name val="Tw Cen MT"/>
      <family val="2"/>
      <color theme="1"/>
      <sz val="8"/>
    </font>
    <font>
      <name val="Calibri"/>
      <family val="2"/>
      <color rgb="FF000000"/>
      <sz val="10"/>
    </font>
    <font>
      <name val="Segoe UI"/>
      <family val="2"/>
      <color rgb="FF201F1E"/>
      <sz val="14"/>
    </font>
    <font>
      <name val="Calibri"/>
      <family val="2"/>
      <color rgb="FFFF0000"/>
      <sz val="9"/>
    </font>
    <font>
      <name val="Calibri"/>
      <family val="2"/>
      <color rgb="FF000000"/>
      <sz val="9"/>
    </font>
    <font>
      <name val="Tw Cen MT"/>
      <family val="2"/>
      <i val="1"/>
      <color theme="7" tint="-0.499984740745262"/>
      <sz val="8"/>
    </font>
    <font>
      <name val="Tw Cen MT"/>
      <family val="2"/>
      <b val="1"/>
      <color rgb="FFFFFFFF"/>
      <sz val="9"/>
    </font>
    <font>
      <name val="Tw Cen MT"/>
      <family val="2"/>
      <b val="1"/>
      <sz val="9"/>
    </font>
    <font>
      <name val="Tw Cen MT"/>
      <family val="2"/>
      <b val="1"/>
      <i val="1"/>
      <color rgb="FFFF0000"/>
      <sz val="10"/>
    </font>
    <font>
      <name val="Tw Cen MT"/>
      <family val="2"/>
      <i val="1"/>
      <color theme="2" tint="-0.749992370372631"/>
      <sz val="9"/>
    </font>
    <font>
      <name val="Tw Cen MT"/>
      <family val="2"/>
      <color rgb="FF000000"/>
      <sz val="11"/>
    </font>
    <font>
      <name val="Tw Cen MT"/>
      <family val="2"/>
      <color rgb="FFFF0000"/>
      <sz val="11"/>
    </font>
    <font>
      <name val="Tw Cen MT"/>
      <family val="2"/>
      <i val="1"/>
      <color theme="2" tint="-0.749992370372631"/>
      <sz val="10"/>
    </font>
    <font>
      <name val="Tw Cen MT"/>
      <family val="2"/>
      <b val="1"/>
      <color theme="1"/>
      <sz val="8"/>
    </font>
    <font>
      <name val="Tw Cen MT"/>
      <family val="2"/>
      <color theme="0"/>
      <sz val="8"/>
    </font>
    <font>
      <name val="Tw Cen MT"/>
      <family val="2"/>
      <b val="1"/>
      <color rgb="FFFF0000"/>
      <sz val="8"/>
    </font>
    <font>
      <name val="Tw Cen MT"/>
      <family val="2"/>
      <i val="1"/>
      <color rgb="FFFF0000"/>
      <sz val="8"/>
    </font>
    <font>
      <name val="Calibri"/>
      <family val="2"/>
      <sz val="10"/>
    </font>
    <font>
      <name val="Tw Cen MT"/>
      <family val="2"/>
      <b val="1"/>
      <color rgb="FF002060"/>
      <sz val="12"/>
    </font>
    <font>
      <name val="Calibri"/>
      <family val="2"/>
      <sz val="10"/>
    </font>
    <font>
      <name val="Calibri"/>
      <family val="2"/>
      <color rgb="FF1218DC"/>
      <sz val="10"/>
      <u val="single"/>
    </font>
    <font>
      <name val="Calibri"/>
      <family val="2"/>
      <color theme="4" tint="-0.249977111117893"/>
      <sz val="9"/>
      <scheme val="minor"/>
    </font>
    <font>
      <name val="Calibri"/>
      <family val="2"/>
      <color theme="4" tint="-0.249977111117893"/>
      <sz val="9"/>
    </font>
    <font>
      <name val="Segoe UI"/>
      <family val="2"/>
      <color rgb="FF201F1E"/>
      <sz val="9"/>
    </font>
  </fonts>
  <fills count="29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rgb="FF000000"/>
      </patternFill>
    </fill>
    <fill>
      <patternFill patternType="solid">
        <fgColor rgb="FF37562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"/>
        <bgColor indexed="64"/>
      </patternFill>
    </fill>
  </fills>
  <borders count="100">
    <border>
      <left/>
      <right/>
      <top/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dotted">
        <color theme="3"/>
      </left>
      <right style="dotted">
        <color theme="3"/>
      </right>
      <top/>
      <bottom/>
      <diagonal/>
    </border>
    <border>
      <left style="dotted">
        <color theme="3"/>
      </left>
      <right/>
      <top/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 style="dotted">
        <color theme="3"/>
      </left>
      <right style="dotted">
        <color theme="3"/>
      </right>
      <top/>
      <bottom style="hair">
        <color theme="2" tint="-0.249946592608417"/>
      </bottom>
      <diagonal/>
    </border>
    <border>
      <left style="dotted">
        <color theme="3"/>
      </left>
      <right/>
      <top/>
      <bottom style="hair">
        <color theme="2" tint="-0.249946592608417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 style="dotted">
        <color theme="3"/>
      </left>
      <right style="dotted">
        <color theme="3"/>
      </right>
      <top style="hair">
        <color theme="2" tint="-0.249946592608417"/>
      </top>
      <bottom style="hair">
        <color theme="2" tint="-0.249946592608417"/>
      </bottom>
      <diagonal/>
    </border>
    <border>
      <left style="dotted">
        <color theme="3"/>
      </left>
      <right/>
      <top style="hair">
        <color theme="2" tint="-0.249946592608417"/>
      </top>
      <bottom style="hair">
        <color theme="2" tint="-0.249946592608417"/>
      </bottom>
      <diagonal/>
    </border>
    <border>
      <left style="medium">
        <color theme="4" tint="-0.499984740745262"/>
      </left>
      <right style="medium">
        <color theme="4" tint="-0.499984740745262"/>
      </right>
      <top style="hair">
        <color theme="2" tint="-0.09994811853389081"/>
      </top>
      <bottom style="hair">
        <color theme="2" tint="-0.09994811853389081"/>
      </bottom>
      <diagonal/>
    </border>
    <border>
      <left style="dotted">
        <color theme="3"/>
      </left>
      <right/>
      <top style="hair">
        <color theme="2" tint="-0.249946592608417"/>
      </top>
      <bottom/>
      <diagonal/>
    </border>
    <border>
      <left style="dotted">
        <color theme="3"/>
      </left>
      <right/>
      <top style="medium">
        <color theme="3"/>
      </top>
      <bottom style="hair">
        <color theme="2" tint="-0.249946592608417"/>
      </bottom>
      <diagonal/>
    </border>
    <border>
      <left style="dotted">
        <color theme="3"/>
      </left>
      <right/>
      <top style="hair">
        <color theme="2" tint="-0.249946592608417"/>
      </top>
      <bottom style="medium">
        <color rgb="FF002060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indexed="64"/>
      </bottom>
      <diagonal/>
    </border>
    <border>
      <left style="dotted">
        <color theme="3"/>
      </left>
      <right style="medium">
        <color theme="4" tint="-0.499984740745262"/>
      </right>
      <top style="hair">
        <color theme="2" tint="-0.249946592608417"/>
      </top>
      <bottom style="medium">
        <color indexed="64"/>
      </bottom>
      <diagonal/>
    </border>
    <border>
      <left style="dotted">
        <color theme="3"/>
      </left>
      <right style="dotted">
        <color theme="3"/>
      </right>
      <top style="hair">
        <color theme="2" tint="-0.249946592608417"/>
      </top>
      <bottom style="medium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hair">
        <color theme="2" tint="-0.09994811853389081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 style="hair">
        <color theme="2" tint="-0.09994811853389081"/>
      </top>
      <bottom style="medium">
        <color rgb="FF002060"/>
      </bottom>
      <diagonal/>
    </border>
    <border>
      <left style="dotted">
        <color theme="3"/>
      </left>
      <right style="dotted">
        <color theme="3"/>
      </right>
      <top style="hair">
        <color theme="2" tint="-0.249946592608417"/>
      </top>
      <bottom style="medium">
        <color rgb="FF002060"/>
      </bottom>
      <diagonal/>
    </border>
    <border>
      <left style="dotted">
        <color theme="3"/>
      </left>
      <right style="dotted">
        <color theme="3"/>
      </right>
      <top style="hair">
        <color theme="2" tint="-0.249946592608417"/>
      </top>
      <bottom/>
      <diagonal/>
    </border>
    <border>
      <left style="dotted">
        <color theme="3"/>
      </left>
      <right style="dotted">
        <color theme="3"/>
      </right>
      <top style="medium">
        <color theme="3"/>
      </top>
      <bottom style="hair">
        <color theme="2" tint="-0.249946592608417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8EA9DB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rgb="FF002060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rgb="FF002060"/>
      </top>
      <bottom/>
      <diagonal/>
    </border>
    <border>
      <left style="dotted">
        <color theme="3"/>
      </left>
      <right/>
      <top style="medium">
        <color rgb="FF002060"/>
      </top>
      <bottom style="hair">
        <color theme="2" tint="-0.249946592608417"/>
      </bottom>
      <diagonal/>
    </border>
    <border>
      <left style="dotted">
        <color theme="3"/>
      </left>
      <right style="dotted">
        <color theme="3"/>
      </right>
      <top style="medium">
        <color rgb="FF002060"/>
      </top>
      <bottom style="hair">
        <color theme="2" tint="-0.249946592608417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indexed="64"/>
      </top>
      <bottom/>
      <diagonal/>
    </border>
    <border>
      <left style="dotted">
        <color theme="3"/>
      </left>
      <right/>
      <top style="medium">
        <color indexed="64"/>
      </top>
      <bottom style="hair">
        <color theme="2" tint="-0.249946592608417"/>
      </bottom>
      <diagonal/>
    </border>
    <border>
      <left style="dotted">
        <color theme="3"/>
      </left>
      <right style="dotted">
        <color theme="3"/>
      </right>
      <top style="medium">
        <color indexed="64"/>
      </top>
      <bottom style="hair">
        <color theme="2" tint="-0.249946592608417"/>
      </bottom>
      <diagonal/>
    </border>
    <border>
      <left/>
      <right style="dotted">
        <color theme="3"/>
      </right>
      <top style="hair">
        <color theme="2" tint="-0.249946592608417"/>
      </top>
      <bottom style="hair">
        <color theme="2" tint="-0.249946592608417"/>
      </bottom>
      <diagonal/>
    </border>
    <border>
      <left style="dotted">
        <color theme="3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theme="3"/>
      </left>
      <right style="medium">
        <color indexed="64"/>
      </right>
      <top style="hair">
        <color theme="2" tint="-0.249946592608417"/>
      </top>
      <bottom/>
      <diagonal/>
    </border>
    <border>
      <left/>
      <right style="medium">
        <color theme="4" tint="-0.499984740745262"/>
      </right>
      <top/>
      <bottom style="medium">
        <color indexed="64"/>
      </bottom>
      <diagonal/>
    </border>
    <border>
      <left style="dotted">
        <color theme="3"/>
      </left>
      <right style="medium">
        <color indexed="64"/>
      </right>
      <top style="hair">
        <color theme="2" tint="-0.249946592608417"/>
      </top>
      <bottom style="medium">
        <color indexed="64"/>
      </bottom>
      <diagonal/>
    </border>
    <border>
      <left style="medium">
        <color indexed="64"/>
      </left>
      <right style="dotted">
        <color theme="3"/>
      </right>
      <top style="hair">
        <color theme="2" tint="-0.249946592608417"/>
      </top>
      <bottom style="medium">
        <color indexed="64"/>
      </bottom>
      <diagonal/>
    </border>
    <border>
      <left/>
      <right style="medium">
        <color theme="4" tint="-0.499984740745262"/>
      </right>
      <top/>
      <bottom/>
      <diagonal/>
    </border>
    <border>
      <left style="medium">
        <color indexed="64"/>
      </left>
      <right style="dotted">
        <color theme="3"/>
      </right>
      <top style="hair">
        <color theme="2" tint="-0.249946592608417"/>
      </top>
      <bottom style="hair">
        <color theme="2" tint="-0.249946592608417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theme="2" tint="-0.249946592608417"/>
      </top>
      <bottom style="hair">
        <color theme="2" tint="-0.249946592608417"/>
      </bottom>
      <diagonal/>
    </border>
    <border>
      <left style="dotted">
        <color theme="3"/>
      </left>
      <right style="medium">
        <color indexed="64"/>
      </right>
      <top style="hair">
        <color theme="2" tint="-0.249946592608417"/>
      </top>
      <bottom style="hair">
        <color theme="2" tint="-0.249946592608417"/>
      </bottom>
      <diagonal/>
    </border>
    <border>
      <left style="dotted">
        <color theme="3"/>
      </left>
      <right style="medium">
        <color indexed="64"/>
      </right>
      <top style="medium">
        <color indexed="64"/>
      </top>
      <bottom style="hair">
        <color theme="2" tint="-0.249946592608417"/>
      </bottom>
      <diagonal/>
    </border>
    <border>
      <left style="medium">
        <color indexed="64"/>
      </left>
      <right style="dotted">
        <color theme="3"/>
      </right>
      <top style="medium">
        <color indexed="64"/>
      </top>
      <bottom style="hair">
        <color theme="2" tint="-0.249946592608417"/>
      </bottom>
      <diagonal/>
    </border>
    <border>
      <left style="dotted">
        <color theme="3"/>
      </left>
      <right/>
      <top style="hair">
        <color theme="2" tint="-0.249946592608417"/>
      </top>
      <bottom style="medium">
        <color indexed="64"/>
      </bottom>
      <diagonal/>
    </border>
    <border>
      <left/>
      <right/>
      <top/>
      <bottom style="double">
        <color rgb="FF00206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theme="3"/>
      </left>
      <right style="medium">
        <color indexed="64"/>
      </right>
      <top/>
      <bottom style="hair">
        <color theme="2" tint="-0.249946592608417"/>
      </bottom>
      <diagonal/>
    </border>
    <border>
      <left style="medium">
        <color indexed="64"/>
      </left>
      <right style="dotted">
        <color theme="3"/>
      </right>
      <top/>
      <bottom style="hair">
        <color theme="2" tint="-0.249946592608417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1" fillId="0" borderId="0"/>
    <xf numFmtId="44" fontId="1" fillId="0" borderId="0"/>
    <xf numFmtId="44" fontId="1" fillId="0" borderId="0"/>
    <xf numFmtId="0" fontId="13" fillId="0" borderId="0"/>
    <xf numFmtId="0" fontId="13" fillId="0" borderId="0"/>
    <xf numFmtId="9" fontId="1" fillId="0" borderId="0"/>
    <xf numFmtId="0" fontId="41" fillId="0" borderId="0"/>
    <xf numFmtId="44" fontId="1" fillId="0" borderId="0"/>
  </cellStyleXfs>
  <cellXfs count="60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2" fontId="3" fillId="0" borderId="0" pivotButton="0" quotePrefix="0" xfId="1"/>
    <xf numFmtId="0" fontId="4" fillId="0" borderId="0" applyAlignment="1" pivotButton="0" quotePrefix="0" xfId="0">
      <alignment horizontal="center"/>
    </xf>
    <xf numFmtId="164" fontId="0" fillId="0" borderId="0" pivotButton="0" quotePrefix="0" xfId="1"/>
    <xf numFmtId="14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1">
      <protection locked="0" hidden="0"/>
    </xf>
    <xf numFmtId="49" fontId="0" fillId="0" borderId="0" applyProtection="1" pivotButton="0" quotePrefix="0" xfId="0">
      <protection locked="0" hidden="0"/>
    </xf>
    <xf numFmtId="0" fontId="6" fillId="3" borderId="0" applyAlignment="1" pivotButton="0" quotePrefix="0" xfId="0">
      <alignment horizontal="center"/>
    </xf>
    <xf numFmtId="49" fontId="6" fillId="3" borderId="0" applyAlignment="1" pivotButton="0" quotePrefix="0" xfId="0">
      <alignment horizontal="center"/>
    </xf>
    <xf numFmtId="164" fontId="6" fillId="3" borderId="0" applyAlignment="1" pivotButton="0" quotePrefix="0" xfId="1">
      <alignment horizontal="center"/>
    </xf>
    <xf numFmtId="49" fontId="0" fillId="0" borderId="0" applyAlignment="1" pivotButton="0" quotePrefix="0" xfId="0">
      <alignment horizontal="center" vertical="center"/>
    </xf>
    <xf numFmtId="164" fontId="0" fillId="0" borderId="0" pivotButton="0" quotePrefix="0" xfId="1"/>
    <xf numFmtId="49" fontId="5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7" fillId="2" borderId="0" pivotButton="0" quotePrefix="0" xfId="0"/>
    <xf numFmtId="0" fontId="8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4" borderId="0" pivotButton="0" quotePrefix="0" xfId="0"/>
    <xf numFmtId="49" fontId="0" fillId="4" borderId="0" applyAlignment="1" pivotButton="0" quotePrefix="0" xfId="0">
      <alignment horizontal="center" vertical="center"/>
    </xf>
    <xf numFmtId="165" fontId="0" fillId="0" borderId="0" applyProtection="1" pivotButton="0" quotePrefix="0" xfId="0">
      <protection locked="0" hidden="0"/>
    </xf>
    <xf numFmtId="14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1">
      <alignment horizontal="center" vertical="center" wrapText="1"/>
    </xf>
    <xf numFmtId="164" fontId="9" fillId="0" borderId="0" applyAlignment="1" pivotButton="0" quotePrefix="0" xfId="1">
      <alignment horizontal="center" vertical="center"/>
    </xf>
    <xf numFmtId="1" fontId="10" fillId="0" borderId="0" applyAlignment="1" pivotButton="0" quotePrefix="0" xfId="0">
      <alignment horizontal="center"/>
    </xf>
    <xf numFmtId="164" fontId="10" fillId="0" borderId="0" pivotButton="0" quotePrefix="0" xfId="1"/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1" fontId="3" fillId="0" borderId="0" applyAlignment="1" pivotButton="0" quotePrefix="0" xfId="0">
      <alignment horizontal="center"/>
    </xf>
    <xf numFmtId="0" fontId="0" fillId="6" borderId="0" pivotButton="0" quotePrefix="0" xfId="0"/>
    <xf numFmtId="49" fontId="0" fillId="6" borderId="0" applyAlignment="1" pivotButton="0" quotePrefix="0" xfId="0">
      <alignment horizontal="center"/>
    </xf>
    <xf numFmtId="164" fontId="0" fillId="6" borderId="0" pivotButton="0" quotePrefix="0" xfId="1"/>
    <xf numFmtId="0" fontId="0" fillId="6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4" fontId="10" fillId="0" borderId="0" applyAlignment="1" pivotButton="0" quotePrefix="0" xfId="1">
      <alignment horizontal="center" vertical="center"/>
    </xf>
    <xf numFmtId="0" fontId="14" fillId="0" borderId="0" pivotButton="0" quotePrefix="0" xfId="3"/>
    <xf numFmtId="164" fontId="10" fillId="0" borderId="0" pivotButton="0" quotePrefix="0" xfId="1"/>
    <xf numFmtId="0" fontId="14" fillId="0" borderId="0" applyAlignment="1" pivotButton="0" quotePrefix="0" xfId="3">
      <alignment horizontal="center"/>
    </xf>
    <xf numFmtId="1" fontId="15" fillId="0" borderId="0" applyAlignment="1" pivotButton="0" quotePrefix="0" xfId="0">
      <alignment horizontal="left"/>
    </xf>
    <xf numFmtId="0" fontId="10" fillId="0" borderId="0" pivotButton="0" quotePrefix="0" xfId="0"/>
    <xf numFmtId="0" fontId="7" fillId="2" borderId="0" applyProtection="1" pivotButton="0" quotePrefix="0" xfId="0">
      <protection locked="0" hidden="0"/>
    </xf>
    <xf numFmtId="164" fontId="6" fillId="4" borderId="0" applyAlignment="1" applyProtection="1" pivotButton="0" quotePrefix="0" xfId="1">
      <alignment horizontal="center"/>
      <protection locked="0" hidden="0"/>
    </xf>
    <xf numFmtId="0" fontId="18" fillId="8" borderId="4" applyAlignment="1" pivotButton="0" quotePrefix="0" xfId="0">
      <alignment horizontal="center" vertical="center" wrapText="1"/>
    </xf>
    <xf numFmtId="0" fontId="18" fillId="8" borderId="5" applyAlignment="1" pivotButton="0" quotePrefix="0" xfId="0">
      <alignment horizontal="center" vertical="center" wrapText="1"/>
    </xf>
    <xf numFmtId="0" fontId="19" fillId="9" borderId="6" applyAlignment="1" pivotButton="0" quotePrefix="0" xfId="0">
      <alignment horizontal="center" vertical="center" wrapText="1"/>
    </xf>
    <xf numFmtId="0" fontId="20" fillId="10" borderId="6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1" fillId="0" borderId="8" applyAlignment="1" pivotButton="0" quotePrefix="0" xfId="0">
      <alignment vertical="center"/>
    </xf>
    <xf numFmtId="166" fontId="22" fillId="0" borderId="9" applyAlignment="1" pivotButton="0" quotePrefix="0" xfId="0">
      <alignment vertical="center"/>
    </xf>
    <xf numFmtId="0" fontId="21" fillId="0" borderId="10" applyAlignment="1" pivotButton="0" quotePrefix="0" xfId="0">
      <alignment horizontal="center" vertical="center"/>
    </xf>
    <xf numFmtId="1" fontId="21" fillId="0" borderId="11" applyAlignment="1" pivotButton="0" quotePrefix="0" xfId="0">
      <alignment horizontal="center" vertical="center"/>
    </xf>
    <xf numFmtId="0" fontId="21" fillId="0" borderId="11" applyAlignment="1" pivotButton="0" quotePrefix="0" xfId="0">
      <alignment vertical="center"/>
    </xf>
    <xf numFmtId="166" fontId="21" fillId="0" borderId="12" applyAlignment="1" pivotButton="0" quotePrefix="0" xfId="0">
      <alignment vertical="center"/>
    </xf>
    <xf numFmtId="1" fontId="21" fillId="0" borderId="13" applyAlignment="1" pivotButton="0" quotePrefix="0" xfId="0">
      <alignment horizontal="center" vertical="center"/>
    </xf>
    <xf numFmtId="0" fontId="21" fillId="0" borderId="13" applyAlignment="1" pivotButton="0" quotePrefix="0" xfId="0">
      <alignment vertical="center"/>
    </xf>
    <xf numFmtId="0" fontId="21" fillId="0" borderId="14" applyAlignment="1" pivotButton="0" quotePrefix="0" xfId="0">
      <alignment vertical="center"/>
    </xf>
    <xf numFmtId="164" fontId="0" fillId="0" borderId="0" pivotButton="0" quotePrefix="0" xfId="0"/>
    <xf numFmtId="166" fontId="22" fillId="11" borderId="16" applyAlignment="1" pivotButton="0" quotePrefix="0" xfId="0">
      <alignment vertical="center"/>
    </xf>
    <xf numFmtId="0" fontId="21" fillId="11" borderId="17" applyAlignment="1" pivotButton="0" quotePrefix="0" xfId="0">
      <alignment vertical="center"/>
    </xf>
    <xf numFmtId="1" fontId="21" fillId="11" borderId="15" applyAlignment="1" pivotButton="0" quotePrefix="0" xfId="0">
      <alignment horizontal="center" vertical="center"/>
    </xf>
    <xf numFmtId="0" fontId="21" fillId="11" borderId="18" applyAlignment="1" pivotButton="0" quotePrefix="0" xfId="0">
      <alignment horizontal="center" vertical="center"/>
    </xf>
    <xf numFmtId="166" fontId="21" fillId="11" borderId="19" applyAlignment="1" pivotButton="0" quotePrefix="0" xfId="0">
      <alignment vertical="center"/>
    </xf>
    <xf numFmtId="0" fontId="21" fillId="11" borderId="13" applyAlignment="1" pivotButton="0" quotePrefix="0" xfId="0">
      <alignment vertical="center"/>
    </xf>
    <xf numFmtId="1" fontId="21" fillId="11" borderId="13" applyAlignment="1" pivotButton="0" quotePrefix="0" xfId="0">
      <alignment horizontal="center" vertical="center"/>
    </xf>
    <xf numFmtId="0" fontId="21" fillId="11" borderId="10" applyAlignment="1" pivotButton="0" quotePrefix="0" xfId="0">
      <alignment horizontal="center" vertical="center"/>
    </xf>
    <xf numFmtId="166" fontId="21" fillId="11" borderId="20" applyAlignment="1" pivotButton="0" quotePrefix="0" xfId="0">
      <alignment vertical="center"/>
    </xf>
    <xf numFmtId="0" fontId="21" fillId="11" borderId="15" applyAlignment="1" pivotButton="0" quotePrefix="0" xfId="0">
      <alignment vertical="center"/>
    </xf>
    <xf numFmtId="0" fontId="21" fillId="11" borderId="21" applyAlignment="1" pivotButton="0" quotePrefix="0" xfId="0">
      <alignment horizontal="center" vertical="center"/>
    </xf>
    <xf numFmtId="0" fontId="21" fillId="11" borderId="22" applyAlignment="1" pivotButton="0" quotePrefix="0" xfId="0">
      <alignment horizontal="center" vertical="center"/>
    </xf>
    <xf numFmtId="1" fontId="21" fillId="0" borderId="14" applyAlignment="1" pivotButton="0" quotePrefix="0" xfId="0">
      <alignment horizontal="center" vertical="center"/>
    </xf>
    <xf numFmtId="0" fontId="21" fillId="0" borderId="23" applyAlignment="1" pivotButton="0" quotePrefix="0" xfId="0">
      <alignment horizontal="center" vertical="center"/>
    </xf>
    <xf numFmtId="0" fontId="23" fillId="0" borderId="0" applyProtection="1" pivotButton="0" quotePrefix="0" xfId="0">
      <protection locked="0" hidden="0"/>
    </xf>
    <xf numFmtId="164" fontId="0" fillId="7" borderId="24" applyAlignment="1" pivotButton="0" quotePrefix="0" xfId="1">
      <alignment horizontal="left" vertical="center"/>
    </xf>
    <xf numFmtId="164" fontId="0" fillId="0" borderId="0" applyAlignment="1" pivotButton="0" quotePrefix="0" xfId="0">
      <alignment horizontal="center" vertical="center"/>
    </xf>
    <xf numFmtId="164" fontId="0" fillId="0" borderId="25" applyAlignment="1" pivotButton="0" quotePrefix="0" xfId="1">
      <alignment horizontal="left" vertical="center"/>
    </xf>
    <xf numFmtId="0" fontId="0" fillId="0" borderId="26" applyAlignment="1" pivotButton="0" quotePrefix="0" xfId="0">
      <alignment horizontal="left" vertical="center"/>
    </xf>
    <xf numFmtId="1" fontId="24" fillId="0" borderId="27" applyAlignment="1" pivotButton="0" quotePrefix="0" xfId="0">
      <alignment horizontal="center" vertical="center" wrapText="1"/>
    </xf>
    <xf numFmtId="164" fontId="0" fillId="7" borderId="29" applyAlignment="1" pivotButton="0" quotePrefix="0" xfId="1">
      <alignment horizontal="left" vertical="center"/>
    </xf>
    <xf numFmtId="164" fontId="0" fillId="0" borderId="30" applyAlignment="1" pivotButton="0" quotePrefix="0" xfId="1">
      <alignment horizontal="left" vertical="center"/>
    </xf>
    <xf numFmtId="0" fontId="0" fillId="0" borderId="31" applyAlignment="1" pivotButton="0" quotePrefix="0" xfId="0">
      <alignment horizontal="left" vertical="center"/>
    </xf>
    <xf numFmtId="1" fontId="24" fillId="0" borderId="32" applyAlignment="1" pivotButton="0" quotePrefix="0" xfId="0">
      <alignment horizontal="center" vertical="center" wrapText="1"/>
    </xf>
    <xf numFmtId="164" fontId="0" fillId="7" borderId="34" applyAlignment="1" pivotButton="0" quotePrefix="0" xfId="1">
      <alignment horizontal="left" vertical="center"/>
    </xf>
    <xf numFmtId="164" fontId="0" fillId="0" borderId="35" applyAlignment="1" pivotButton="0" quotePrefix="0" xfId="1">
      <alignment horizontal="left" vertical="center"/>
    </xf>
    <xf numFmtId="0" fontId="0" fillId="0" borderId="36" applyAlignment="1" pivotButton="0" quotePrefix="0" xfId="0">
      <alignment horizontal="left" vertical="center"/>
    </xf>
    <xf numFmtId="1" fontId="24" fillId="0" borderId="37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left" vertical="center"/>
    </xf>
    <xf numFmtId="0" fontId="0" fillId="12" borderId="34" applyAlignment="1" pivotButton="0" quotePrefix="0" xfId="0">
      <alignment horizontal="center" vertical="center" wrapText="1"/>
    </xf>
    <xf numFmtId="0" fontId="0" fillId="4" borderId="34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 vertical="center"/>
    </xf>
    <xf numFmtId="9" fontId="0" fillId="13" borderId="41" applyAlignment="1" pivotButton="0" quotePrefix="1" xfId="0">
      <alignment horizontal="center" vertical="center"/>
    </xf>
    <xf numFmtId="0" fontId="0" fillId="9" borderId="41" applyAlignment="1" pivotButton="0" quotePrefix="0" xfId="0">
      <alignment horizontal="center" vertical="center"/>
    </xf>
    <xf numFmtId="0" fontId="0" fillId="9" borderId="41" applyAlignment="1" pivotButton="0" quotePrefix="0" xfId="0">
      <alignment horizontal="center" vertical="center" wrapText="1"/>
    </xf>
    <xf numFmtId="0" fontId="0" fillId="9" borderId="42" applyAlignment="1" pivotButton="0" quotePrefix="0" xfId="0">
      <alignment horizontal="center" vertical="center"/>
    </xf>
    <xf numFmtId="164" fontId="24" fillId="0" borderId="0" applyAlignment="1" pivotButton="0" quotePrefix="0" xfId="1">
      <alignment horizontal="center" vertical="center"/>
    </xf>
    <xf numFmtId="164" fontId="0" fillId="0" borderId="0" applyAlignment="1" pivotButton="0" quotePrefix="0" xfId="1">
      <alignment horizontal="center" vertical="center"/>
    </xf>
    <xf numFmtId="0" fontId="23" fillId="0" borderId="0" pivotButton="0" quotePrefix="0" xfId="0"/>
    <xf numFmtId="164" fontId="23" fillId="0" borderId="0" pivotButton="0" quotePrefix="0" xfId="0"/>
    <xf numFmtId="1" fontId="24" fillId="0" borderId="45" applyAlignment="1" pivotButton="0" quotePrefix="0" xfId="0">
      <alignment horizontal="center" vertical="center" wrapText="1"/>
    </xf>
    <xf numFmtId="1" fontId="26" fillId="0" borderId="27" applyAlignment="1" pivotButton="0" quotePrefix="0" xfId="0">
      <alignment horizontal="center" vertical="center" wrapText="1"/>
    </xf>
    <xf numFmtId="1" fontId="26" fillId="0" borderId="45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left" vertical="center"/>
    </xf>
    <xf numFmtId="1" fontId="24" fillId="0" borderId="48" applyAlignment="1" pivotButton="0" quotePrefix="0" xfId="0">
      <alignment horizontal="center" vertical="center" wrapText="1"/>
    </xf>
    <xf numFmtId="164" fontId="0" fillId="15" borderId="0" applyAlignment="1" pivotButton="0" quotePrefix="0" xfId="0">
      <alignment horizontal="center" vertical="center"/>
    </xf>
    <xf numFmtId="164" fontId="0" fillId="15" borderId="25" applyAlignment="1" pivotButton="0" quotePrefix="0" xfId="1">
      <alignment horizontal="left" vertical="center"/>
    </xf>
    <xf numFmtId="164" fontId="0" fillId="15" borderId="30" applyAlignment="1" pivotButton="0" quotePrefix="0" xfId="1">
      <alignment horizontal="left" vertical="center"/>
    </xf>
    <xf numFmtId="0" fontId="24" fillId="0" borderId="27" applyAlignment="1" pivotButton="0" quotePrefix="0" xfId="0">
      <alignment horizontal="center" vertical="center" wrapText="1"/>
    </xf>
    <xf numFmtId="0" fontId="24" fillId="0" borderId="45" applyAlignment="1" pivotButton="0" quotePrefix="0" xfId="0">
      <alignment horizontal="center" vertical="center" wrapText="1"/>
    </xf>
    <xf numFmtId="1" fontId="26" fillId="0" borderId="51" applyAlignment="1" pivotButton="0" quotePrefix="0" xfId="0">
      <alignment horizontal="center" vertical="center" wrapText="1"/>
    </xf>
    <xf numFmtId="1" fontId="26" fillId="0" borderId="52" applyAlignment="1" pivotButton="0" quotePrefix="0" xfId="0">
      <alignment horizontal="center" vertical="center" wrapText="1"/>
    </xf>
    <xf numFmtId="1" fontId="26" fillId="0" borderId="54" applyAlignment="1" pivotButton="0" quotePrefix="0" xfId="0">
      <alignment horizontal="center" vertical="center" wrapText="1"/>
    </xf>
    <xf numFmtId="1" fontId="26" fillId="0" borderId="56" applyAlignment="1" pivotButton="0" quotePrefix="0" xfId="0">
      <alignment horizontal="center" vertical="center" wrapText="1"/>
    </xf>
    <xf numFmtId="17" fontId="27" fillId="0" borderId="0" applyAlignment="1" pivotButton="0" quotePrefix="0" xfId="0">
      <alignment horizontal="center" vertical="center"/>
    </xf>
    <xf numFmtId="164" fontId="28" fillId="0" borderId="0" applyAlignment="1" pivotButton="0" quotePrefix="0" xfId="1">
      <alignment vertical="center"/>
    </xf>
    <xf numFmtId="3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1" fontId="26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 wrapText="1"/>
    </xf>
    <xf numFmtId="0" fontId="30" fillId="5" borderId="59" applyAlignment="1" pivotButton="0" quotePrefix="0" xfId="0">
      <alignment horizontal="center" vertical="center" wrapText="1"/>
    </xf>
    <xf numFmtId="0" fontId="30" fillId="16" borderId="59" applyAlignment="1" pivotButton="0" quotePrefix="0" xfId="0">
      <alignment horizontal="center" vertical="center" wrapText="1"/>
    </xf>
    <xf numFmtId="0" fontId="30" fillId="16" borderId="59" applyAlignment="1" pivotButton="0" quotePrefix="0" xfId="0">
      <alignment vertical="center"/>
    </xf>
    <xf numFmtId="0" fontId="31" fillId="0" borderId="0" applyAlignment="1" pivotButton="0" quotePrefix="0" xfId="0">
      <alignment horizontal="center"/>
    </xf>
    <xf numFmtId="0" fontId="32" fillId="4" borderId="0" pivotButton="0" quotePrefix="0" xfId="0"/>
    <xf numFmtId="167" fontId="21" fillId="0" borderId="0" applyAlignment="1" pivotButton="0" quotePrefix="0" xfId="0">
      <alignment horizontal="center" vertical="center"/>
    </xf>
    <xf numFmtId="9" fontId="35" fillId="0" borderId="0" applyAlignment="1" pivotButton="0" quotePrefix="0" xfId="5">
      <alignment horizontal="center" vertical="center"/>
    </xf>
    <xf numFmtId="164" fontId="0" fillId="7" borderId="25" applyAlignment="1" pivotButton="0" quotePrefix="0" xfId="1">
      <alignment horizontal="left" vertical="center"/>
    </xf>
    <xf numFmtId="164" fontId="0" fillId="7" borderId="30" applyAlignment="1" pivotButton="0" quotePrefix="0" xfId="1">
      <alignment horizontal="left" vertical="center"/>
    </xf>
    <xf numFmtId="164" fontId="0" fillId="7" borderId="35" applyAlignment="1" pivotButton="0" quotePrefix="0" xfId="1">
      <alignment horizontal="left" vertical="center"/>
    </xf>
    <xf numFmtId="0" fontId="34" fillId="17" borderId="41" applyAlignment="1" pivotButton="0" quotePrefix="0" xfId="0">
      <alignment horizontal="center" vertical="center" wrapText="1"/>
    </xf>
    <xf numFmtId="165" fontId="0" fillId="0" borderId="0" pivotButton="0" quotePrefix="0" xfId="0"/>
    <xf numFmtId="1" fontId="26" fillId="0" borderId="32" applyAlignment="1" pivotButton="0" quotePrefix="0" xfId="0">
      <alignment horizontal="center" vertical="center" wrapText="1"/>
    </xf>
    <xf numFmtId="1" fontId="26" fillId="0" borderId="37" applyAlignment="1" pivotButton="0" quotePrefix="0" xfId="0">
      <alignment horizontal="center" vertical="center" wrapText="1"/>
    </xf>
    <xf numFmtId="9" fontId="36" fillId="0" borderId="0" applyAlignment="1" pivotButton="0" quotePrefix="0" xfId="0">
      <alignment horizontal="center" vertical="center"/>
    </xf>
    <xf numFmtId="10" fontId="0" fillId="0" borderId="0" pivotButton="0" quotePrefix="0" xfId="5"/>
    <xf numFmtId="9" fontId="0" fillId="0" borderId="0" applyAlignment="1" pivotButton="0" quotePrefix="0" xfId="0">
      <alignment horizontal="center"/>
    </xf>
    <xf numFmtId="9" fontId="33" fillId="18" borderId="0" applyAlignment="1" pivotButton="0" quotePrefix="0" xfId="5">
      <alignment horizontal="center"/>
    </xf>
    <xf numFmtId="164" fontId="28" fillId="0" borderId="0" applyAlignment="1" pivotButton="0" quotePrefix="0" xfId="1">
      <alignment horizontal="center" vertical="center"/>
    </xf>
    <xf numFmtId="9" fontId="0" fillId="0" borderId="0" applyAlignment="1" pivotButton="0" quotePrefix="0" xfId="5">
      <alignment horizontal="center"/>
    </xf>
    <xf numFmtId="9" fontId="33" fillId="0" borderId="0" applyAlignment="1" pivotButton="0" quotePrefix="0" xfId="5">
      <alignment horizontal="center"/>
    </xf>
    <xf numFmtId="0" fontId="0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 vertical="center"/>
    </xf>
    <xf numFmtId="9" fontId="0" fillId="0" borderId="0" pivotButton="0" quotePrefix="0" xfId="5"/>
    <xf numFmtId="164" fontId="28" fillId="7" borderId="0" applyAlignment="1" pivotButton="0" quotePrefix="0" xfId="1">
      <alignment horizontal="center" vertical="center"/>
    </xf>
    <xf numFmtId="166" fontId="21" fillId="11" borderId="9" applyAlignment="1" pivotButton="0" quotePrefix="0" xfId="0">
      <alignment vertical="center"/>
    </xf>
    <xf numFmtId="0" fontId="21" fillId="11" borderId="5" applyAlignment="1" pivotButton="0" quotePrefix="0" xfId="0">
      <alignment vertical="center"/>
    </xf>
    <xf numFmtId="1" fontId="21" fillId="11" borderId="5" applyAlignment="1" pivotButton="0" quotePrefix="0" xfId="0">
      <alignment horizontal="center" vertical="center"/>
    </xf>
    <xf numFmtId="0" fontId="21" fillId="11" borderId="7" applyAlignment="1" pivotButton="0" quotePrefix="0" xfId="0">
      <alignment horizontal="center" vertical="center"/>
    </xf>
    <xf numFmtId="166" fontId="22" fillId="0" borderId="60" applyAlignment="1" pivotButton="0" quotePrefix="0" xfId="0">
      <alignment vertical="center"/>
    </xf>
    <xf numFmtId="0" fontId="21" fillId="0" borderId="15" applyAlignment="1" pivotButton="0" quotePrefix="0" xfId="0">
      <alignment vertical="center"/>
    </xf>
    <xf numFmtId="1" fontId="21" fillId="0" borderId="15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166" fontId="22" fillId="0" borderId="61" applyAlignment="1" pivotButton="0" quotePrefix="0" xfId="0">
      <alignment vertical="center"/>
    </xf>
    <xf numFmtId="0" fontId="21" fillId="0" borderId="62" applyAlignment="1" pivotButton="0" quotePrefix="0" xfId="0">
      <alignment vertical="center"/>
    </xf>
    <xf numFmtId="1" fontId="21" fillId="0" borderId="62" applyAlignment="1" pivotButton="0" quotePrefix="0" xfId="0">
      <alignment horizontal="center" vertical="center"/>
    </xf>
    <xf numFmtId="0" fontId="21" fillId="0" borderId="63" applyAlignment="1" pivotButton="0" quotePrefix="0" xfId="0">
      <alignment horizontal="center" vertical="center"/>
    </xf>
    <xf numFmtId="166" fontId="22" fillId="0" borderId="64" applyAlignment="1" pivotButton="0" quotePrefix="0" xfId="0">
      <alignment vertical="center"/>
    </xf>
    <xf numFmtId="0" fontId="21" fillId="0" borderId="65" applyAlignment="1" pivotButton="0" quotePrefix="0" xfId="0">
      <alignment vertical="center"/>
    </xf>
    <xf numFmtId="1" fontId="21" fillId="0" borderId="65" applyAlignment="1" pivotButton="0" quotePrefix="0" xfId="0">
      <alignment horizontal="center" vertical="center"/>
    </xf>
    <xf numFmtId="0" fontId="21" fillId="0" borderId="66" applyAlignment="1" pivotButton="0" quotePrefix="0" xfId="0">
      <alignment horizontal="center" vertical="center"/>
    </xf>
    <xf numFmtId="0" fontId="21" fillId="11" borderId="4" applyAlignment="1" pivotButton="0" quotePrefix="0" xfId="0">
      <alignment horizontal="center" vertical="center"/>
    </xf>
    <xf numFmtId="0" fontId="39" fillId="4" borderId="0" applyAlignment="1" pivotButton="0" quotePrefix="0" xfId="0">
      <alignment horizontal="center" vertical="center"/>
    </xf>
    <xf numFmtId="164" fontId="39" fillId="0" borderId="0" applyAlignment="1" pivotButton="0" quotePrefix="0" xfId="1">
      <alignment horizontal="center" vertical="center"/>
    </xf>
    <xf numFmtId="0" fontId="38" fillId="0" borderId="0" applyAlignment="1" pivotButton="0" quotePrefix="0" xfId="0">
      <alignment horizontal="center" vertical="center"/>
    </xf>
    <xf numFmtId="164" fontId="38" fillId="0" borderId="0" applyAlignment="1" pivotButton="0" quotePrefix="0" xfId="1">
      <alignment horizontal="center" vertical="center"/>
    </xf>
    <xf numFmtId="1" fontId="24" fillId="19" borderId="45" applyAlignment="1" pivotButton="0" quotePrefix="0" xfId="0">
      <alignment horizontal="center" vertical="center" wrapText="1"/>
    </xf>
    <xf numFmtId="0" fontId="0" fillId="19" borderId="39" applyAlignment="1" pivotButton="0" quotePrefix="0" xfId="0">
      <alignment horizontal="left" vertical="center"/>
    </xf>
    <xf numFmtId="1" fontId="24" fillId="19" borderId="27" applyAlignment="1" pivotButton="0" quotePrefix="0" xfId="0">
      <alignment horizontal="center" vertical="center" wrapText="1"/>
    </xf>
    <xf numFmtId="0" fontId="0" fillId="19" borderId="26" applyAlignment="1" pivotButton="0" quotePrefix="0" xfId="0">
      <alignment horizontal="left" vertical="center"/>
    </xf>
    <xf numFmtId="164" fontId="0" fillId="19" borderId="30" applyAlignment="1" pivotButton="0" quotePrefix="0" xfId="1">
      <alignment horizontal="left" vertical="center"/>
    </xf>
    <xf numFmtId="164" fontId="0" fillId="19" borderId="25" applyAlignment="1" pivotButton="0" quotePrefix="0" xfId="1">
      <alignment horizontal="left" vertical="center"/>
    </xf>
    <xf numFmtId="9" fontId="35" fillId="19" borderId="0" applyAlignment="1" pivotButton="0" quotePrefix="0" xfId="5">
      <alignment horizontal="center" vertical="center"/>
    </xf>
    <xf numFmtId="1" fontId="24" fillId="19" borderId="37" applyAlignment="1" pivotButton="0" quotePrefix="0" xfId="0">
      <alignment horizontal="center" vertical="center" wrapText="1"/>
    </xf>
    <xf numFmtId="0" fontId="0" fillId="19" borderId="36" applyAlignment="1" pivotButton="0" quotePrefix="0" xfId="0">
      <alignment horizontal="left" vertical="center"/>
    </xf>
    <xf numFmtId="1" fontId="24" fillId="19" borderId="32" applyAlignment="1" pivotButton="0" quotePrefix="0" xfId="0">
      <alignment horizontal="center" vertical="center" wrapText="1"/>
    </xf>
    <xf numFmtId="0" fontId="0" fillId="19" borderId="31" applyAlignment="1" pivotButton="0" quotePrefix="0" xfId="0">
      <alignment horizontal="left" vertical="center"/>
    </xf>
    <xf numFmtId="164" fontId="0" fillId="19" borderId="35" applyAlignment="1" pivotButton="0" quotePrefix="0" xfId="1">
      <alignment horizontal="left" vertical="center"/>
    </xf>
    <xf numFmtId="164" fontId="40" fillId="0" borderId="0" applyAlignment="1" pivotButton="0" quotePrefix="0" xfId="1">
      <alignment horizontal="center" vertical="center"/>
    </xf>
    <xf numFmtId="0" fontId="44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1" fontId="46" fillId="0" borderId="0" applyAlignment="1" pivotButton="0" quotePrefix="0" xfId="0">
      <alignment horizontal="center" vertical="center"/>
    </xf>
    <xf numFmtId="1" fontId="26" fillId="19" borderId="45" applyAlignment="1" pivotButton="0" quotePrefix="0" xfId="0">
      <alignment horizontal="center" vertical="center" wrapText="1"/>
    </xf>
    <xf numFmtId="1" fontId="26" fillId="19" borderId="27" applyAlignment="1" pivotButton="0" quotePrefix="0" xfId="0">
      <alignment horizontal="center" vertical="center" wrapText="1"/>
    </xf>
    <xf numFmtId="1" fontId="46" fillId="0" borderId="13" applyAlignment="1" pivotButton="0" quotePrefix="0" xfId="0">
      <alignment horizontal="center" vertical="center"/>
    </xf>
    <xf numFmtId="164" fontId="28" fillId="19" borderId="0" applyAlignment="1" pivotButton="0" quotePrefix="0" xfId="1">
      <alignment horizontal="center" vertical="center"/>
    </xf>
    <xf numFmtId="1" fontId="26" fillId="19" borderId="51" applyAlignment="1" pivotButton="0" quotePrefix="0" xfId="0">
      <alignment horizontal="center" vertical="center" wrapText="1"/>
    </xf>
    <xf numFmtId="1" fontId="26" fillId="19" borderId="43" applyAlignment="1" pivotButton="0" quotePrefix="0" xfId="0">
      <alignment horizontal="center" vertical="center" wrapText="1"/>
    </xf>
    <xf numFmtId="0" fontId="0" fillId="19" borderId="30" applyAlignment="1" pivotButton="0" quotePrefix="0" xfId="0">
      <alignment horizontal="left" vertical="center"/>
    </xf>
    <xf numFmtId="0" fontId="0" fillId="19" borderId="25" applyAlignment="1" pivotButton="0" quotePrefix="0" xfId="0">
      <alignment horizontal="left" vertical="center"/>
    </xf>
    <xf numFmtId="1" fontId="26" fillId="19" borderId="52" applyAlignment="1" pivotButton="0" quotePrefix="0" xfId="0">
      <alignment horizontal="center" vertical="center" wrapText="1"/>
    </xf>
    <xf numFmtId="164" fontId="24" fillId="7" borderId="0" applyAlignment="1" pivotButton="0" quotePrefix="1" xfId="0">
      <alignment horizontal="center"/>
    </xf>
    <xf numFmtId="166" fontId="22" fillId="0" borderId="9" applyAlignment="1" pivotButton="0" quotePrefix="0" xfId="0">
      <alignment horizontal="center" vertical="center"/>
    </xf>
    <xf numFmtId="166" fontId="21" fillId="0" borderId="19" applyAlignment="1" pivotButton="0" quotePrefix="0" xfId="0">
      <alignment vertical="center"/>
    </xf>
    <xf numFmtId="164" fontId="24" fillId="7" borderId="0" applyAlignment="1" pivotButton="0" quotePrefix="0" xfId="0">
      <alignment horizontal="center"/>
    </xf>
    <xf numFmtId="0" fontId="21" fillId="0" borderId="68" applyAlignment="1" pivotButton="0" quotePrefix="0" xfId="0">
      <alignment vertical="center"/>
    </xf>
    <xf numFmtId="0" fontId="0" fillId="0" borderId="43" pivotButton="0" quotePrefix="0" xfId="0"/>
    <xf numFmtId="164" fontId="24" fillId="7" borderId="43" applyAlignment="1" pivotButton="0" quotePrefix="0" xfId="0">
      <alignment horizontal="center"/>
    </xf>
    <xf numFmtId="166" fontId="22" fillId="0" borderId="16" applyAlignment="1" pivotButton="0" quotePrefix="0" xfId="0">
      <alignment vertical="center"/>
    </xf>
    <xf numFmtId="0" fontId="21" fillId="0" borderId="69" applyAlignment="1" pivotButton="0" quotePrefix="0" xfId="0">
      <alignment vertical="center"/>
    </xf>
    <xf numFmtId="0" fontId="21" fillId="0" borderId="18" applyAlignment="1" pivotButton="0" quotePrefix="0" xfId="0">
      <alignment horizontal="center" vertical="center"/>
    </xf>
    <xf numFmtId="0" fontId="21" fillId="0" borderId="70" applyAlignment="1" pivotButton="0" quotePrefix="0" xfId="0">
      <alignment vertical="center"/>
    </xf>
    <xf numFmtId="164" fontId="24" fillId="7" borderId="43" applyAlignment="1" pivotButton="0" quotePrefix="1" xfId="0">
      <alignment horizontal="center"/>
    </xf>
    <xf numFmtId="166" fontId="22" fillId="0" borderId="71" applyAlignment="1" pivotButton="0" quotePrefix="0" xfId="0">
      <alignment vertical="center"/>
    </xf>
    <xf numFmtId="0" fontId="21" fillId="0" borderId="72" applyAlignment="1" pivotButton="0" quotePrefix="0" xfId="0">
      <alignment vertical="center"/>
    </xf>
    <xf numFmtId="0" fontId="21" fillId="0" borderId="73" applyAlignment="1" pivotButton="0" quotePrefix="0" xfId="0">
      <alignment horizontal="center" vertical="center"/>
    </xf>
    <xf numFmtId="166" fontId="22" fillId="0" borderId="74" applyAlignment="1" pivotButton="0" quotePrefix="0" xfId="0">
      <alignment vertical="center"/>
    </xf>
    <xf numFmtId="0" fontId="21" fillId="0" borderId="75" applyAlignment="1" pivotButton="0" quotePrefix="0" xfId="0">
      <alignment horizontal="center" vertical="center"/>
    </xf>
    <xf numFmtId="0" fontId="21" fillId="0" borderId="76" applyAlignment="1" pivotButton="0" quotePrefix="0" xfId="0">
      <alignment vertical="center"/>
    </xf>
    <xf numFmtId="0" fontId="21" fillId="0" borderId="77" applyAlignment="1" pivotButton="0" quotePrefix="0" xfId="0">
      <alignment horizontal="center" vertical="center"/>
    </xf>
    <xf numFmtId="0" fontId="21" fillId="0" borderId="78" applyAlignment="1" pivotButton="0" quotePrefix="0" xfId="0">
      <alignment vertical="center"/>
    </xf>
    <xf numFmtId="0" fontId="21" fillId="0" borderId="79" applyAlignment="1" pivotButton="0" quotePrefix="0" xfId="0">
      <alignment vertical="center"/>
    </xf>
    <xf numFmtId="0" fontId="21" fillId="0" borderId="80" applyAlignment="1" pivotButton="0" quotePrefix="0" xfId="0">
      <alignment horizontal="center" vertical="center"/>
    </xf>
    <xf numFmtId="0" fontId="21" fillId="0" borderId="81" applyAlignment="1" pivotButton="0" quotePrefix="0" xfId="0">
      <alignment vertical="center"/>
    </xf>
    <xf numFmtId="9" fontId="20" fillId="20" borderId="6" applyAlignment="1" pivotButton="0" quotePrefix="0" xfId="0">
      <alignment horizontal="center" vertical="center" wrapText="1"/>
    </xf>
    <xf numFmtId="9" fontId="20" fillId="21" borderId="6" applyAlignment="1" pivotButton="0" quotePrefix="0" xfId="0">
      <alignment horizontal="center" vertical="center" wrapText="1"/>
    </xf>
    <xf numFmtId="1" fontId="26" fillId="19" borderId="32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/>
    </xf>
    <xf numFmtId="0" fontId="46" fillId="0" borderId="0" applyAlignment="1" pivotButton="0" quotePrefix="0" xfId="0">
      <alignment horizontal="center" vertical="center"/>
    </xf>
    <xf numFmtId="166" fontId="46" fillId="0" borderId="0" applyAlignment="1" pivotButton="0" quotePrefix="0" xfId="0">
      <alignment horizontal="center" vertical="center"/>
    </xf>
    <xf numFmtId="166" fontId="44" fillId="0" borderId="0" applyAlignment="1" pivotButton="0" quotePrefix="0" xfId="0">
      <alignment horizontal="center" vertical="center"/>
    </xf>
    <xf numFmtId="0" fontId="38" fillId="0" borderId="0" applyAlignment="1" pivotButton="0" quotePrefix="1" xfId="0">
      <alignment horizontal="center" vertical="center"/>
    </xf>
    <xf numFmtId="0" fontId="46" fillId="0" borderId="10" applyAlignment="1" pivotButton="0" quotePrefix="0" xfId="0">
      <alignment horizontal="center" vertical="center"/>
    </xf>
    <xf numFmtId="0" fontId="0" fillId="19" borderId="35" applyAlignment="1" pivotButton="0" quotePrefix="0" xfId="0">
      <alignment horizontal="left" vertical="center"/>
    </xf>
    <xf numFmtId="1" fontId="26" fillId="19" borderId="5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/>
    </xf>
    <xf numFmtId="164" fontId="38" fillId="0" borderId="0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1" fontId="50" fillId="0" borderId="27" applyAlignment="1" pivotButton="0" quotePrefix="0" xfId="0">
      <alignment horizontal="center" vertical="center" wrapText="1"/>
    </xf>
    <xf numFmtId="1" fontId="50" fillId="0" borderId="45" applyAlignment="1" pivotButton="0" quotePrefix="0" xfId="0">
      <alignment horizontal="center" vertical="center" wrapText="1"/>
    </xf>
    <xf numFmtId="1" fontId="50" fillId="0" borderId="52" applyAlignment="1" pivotButton="0" quotePrefix="0" xfId="0">
      <alignment horizontal="center" vertical="center" wrapText="1"/>
    </xf>
    <xf numFmtId="1" fontId="50" fillId="0" borderId="54" applyAlignment="1" pivotButton="0" quotePrefix="0" xfId="0">
      <alignment horizontal="center" vertical="center" wrapText="1"/>
    </xf>
    <xf numFmtId="1" fontId="50" fillId="0" borderId="56" applyAlignment="1" pivotButton="0" quotePrefix="0" xfId="0">
      <alignment horizontal="center" vertical="center" wrapText="1"/>
    </xf>
    <xf numFmtId="1" fontId="50" fillId="0" borderId="51" applyAlignment="1" pivotButton="0" quotePrefix="0" xfId="0">
      <alignment horizontal="center" vertical="center" wrapText="1"/>
    </xf>
    <xf numFmtId="1" fontId="50" fillId="0" borderId="37" applyAlignment="1" pivotButton="0" quotePrefix="0" xfId="0">
      <alignment horizontal="center" vertical="center" wrapText="1"/>
    </xf>
    <xf numFmtId="1" fontId="50" fillId="0" borderId="32" applyAlignment="1" pivotButton="0" quotePrefix="0" xfId="0">
      <alignment horizontal="center" vertical="center" wrapText="1"/>
    </xf>
    <xf numFmtId="164" fontId="0" fillId="14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164" fontId="51" fillId="23" borderId="69" applyAlignment="1" pivotButton="0" quotePrefix="0" xfId="1">
      <alignment horizontal="center" vertical="center"/>
    </xf>
    <xf numFmtId="0" fontId="51" fillId="23" borderId="69" applyAlignment="1" pivotButton="0" quotePrefix="0" xfId="0">
      <alignment horizontal="center" vertical="center"/>
    </xf>
    <xf numFmtId="0" fontId="51" fillId="23" borderId="24" applyAlignment="1" pivotButton="0" quotePrefix="0" xfId="0">
      <alignment horizontal="center" vertical="center"/>
    </xf>
    <xf numFmtId="0" fontId="52" fillId="0" borderId="0" pivotButton="0" quotePrefix="0" xfId="0"/>
    <xf numFmtId="0" fontId="28" fillId="24" borderId="41" applyAlignment="1" pivotButton="0" quotePrefix="0" xfId="0">
      <alignment horizontal="center" vertical="center"/>
    </xf>
    <xf numFmtId="0" fontId="28" fillId="24" borderId="83" applyAlignment="1" pivotButton="0" quotePrefix="0" xfId="0">
      <alignment horizontal="center" vertical="center"/>
    </xf>
    <xf numFmtId="0" fontId="28" fillId="24" borderId="42" applyAlignment="1" pivotButton="0" quotePrefix="0" xfId="0">
      <alignment horizontal="center" vertical="center"/>
    </xf>
    <xf numFmtId="0" fontId="56" fillId="16" borderId="59" applyAlignment="1" pivotButton="0" quotePrefix="0" xfId="0">
      <alignment horizontal="center" vertical="center" wrapText="1"/>
    </xf>
    <xf numFmtId="0" fontId="57" fillId="4" borderId="59" applyAlignment="1" pivotButton="0" quotePrefix="0" xfId="0">
      <alignment horizontal="center" vertical="center" wrapText="1"/>
    </xf>
    <xf numFmtId="0" fontId="56" fillId="22" borderId="59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3" fontId="60" fillId="0" borderId="0" applyAlignment="1" pivotButton="0" quotePrefix="0" xfId="0">
      <alignment horizontal="center" vertical="center"/>
    </xf>
    <xf numFmtId="164" fontId="60" fillId="0" borderId="0" applyAlignment="1" pivotButton="0" quotePrefix="0" xfId="1">
      <alignment horizontal="center" vertical="center"/>
    </xf>
    <xf numFmtId="17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55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horizontal="center" vertical="center"/>
    </xf>
    <xf numFmtId="1" fontId="50" fillId="0" borderId="0" applyAlignment="1" pivotButton="0" quotePrefix="0" xfId="0">
      <alignment horizontal="center" vertical="center"/>
    </xf>
    <xf numFmtId="9" fontId="61" fillId="18" borderId="0" applyAlignment="1" pivotButton="0" quotePrefix="0" xfId="5">
      <alignment horizontal="center" vertical="center"/>
    </xf>
    <xf numFmtId="0" fontId="56" fillId="16" borderId="59" applyAlignment="1" pivotButton="0" quotePrefix="0" xfId="0">
      <alignment horizontal="center" vertical="center"/>
    </xf>
    <xf numFmtId="2" fontId="38" fillId="0" borderId="0" applyAlignment="1" pivotButton="0" quotePrefix="0" xfId="0">
      <alignment horizontal="center" vertical="center"/>
    </xf>
    <xf numFmtId="166" fontId="22" fillId="9" borderId="16" applyAlignment="1" pivotButton="0" quotePrefix="0" xfId="0">
      <alignment vertical="center"/>
    </xf>
    <xf numFmtId="166" fontId="22" fillId="9" borderId="9" applyAlignment="1" pivotButton="0" quotePrefix="0" xfId="0">
      <alignment vertical="center"/>
    </xf>
    <xf numFmtId="0" fontId="21" fillId="0" borderId="84" applyAlignment="1" pivotButton="0" quotePrefix="0" xfId="0">
      <alignment vertical="center"/>
    </xf>
    <xf numFmtId="0" fontId="21" fillId="0" borderId="85" applyAlignment="1" pivotButton="0" quotePrefix="0" xfId="0">
      <alignment horizontal="center" vertical="center"/>
    </xf>
    <xf numFmtId="164" fontId="24" fillId="4" borderId="0" applyAlignment="1" pivotButton="0" quotePrefix="0" xfId="0">
      <alignment horizontal="center"/>
    </xf>
    <xf numFmtId="0" fontId="38" fillId="19" borderId="0" applyAlignment="1" pivotButton="0" quotePrefix="0" xfId="0">
      <alignment horizontal="center" vertical="center"/>
    </xf>
    <xf numFmtId="0" fontId="46" fillId="19" borderId="0" applyAlignment="1" pivotButton="0" quotePrefix="0" xfId="0">
      <alignment horizontal="center" vertical="center"/>
    </xf>
    <xf numFmtId="166" fontId="46" fillId="19" borderId="0" applyAlignment="1" pivotButton="0" quotePrefix="0" xfId="0">
      <alignment horizontal="center" vertical="center"/>
    </xf>
    <xf numFmtId="166" fontId="44" fillId="19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164" fontId="50" fillId="0" borderId="0" applyAlignment="1" pivotButton="0" quotePrefix="0" xfId="1">
      <alignment horizontal="center" vertical="center"/>
    </xf>
    <xf numFmtId="0" fontId="50" fillId="9" borderId="42" applyAlignment="1" pivotButton="0" quotePrefix="0" xfId="0">
      <alignment horizontal="center" vertical="center"/>
    </xf>
    <xf numFmtId="0" fontId="50" fillId="9" borderId="41" applyAlignment="1" pivotButton="0" quotePrefix="0" xfId="0">
      <alignment horizontal="center" vertical="center"/>
    </xf>
    <xf numFmtId="0" fontId="50" fillId="9" borderId="41" applyAlignment="1" pivotButton="0" quotePrefix="0" xfId="0">
      <alignment horizontal="center" vertical="center" wrapText="1"/>
    </xf>
    <xf numFmtId="0" fontId="64" fillId="17" borderId="41" applyAlignment="1" pivotButton="0" quotePrefix="0" xfId="0">
      <alignment horizontal="center" vertical="center" wrapText="1"/>
    </xf>
    <xf numFmtId="9" fontId="50" fillId="13" borderId="41" applyAlignment="1" pivotButton="0" quotePrefix="1" xfId="0">
      <alignment horizontal="center" vertical="center"/>
    </xf>
    <xf numFmtId="9" fontId="50" fillId="0" borderId="0" applyAlignment="1" pivotButton="0" quotePrefix="0" xfId="0">
      <alignment horizontal="center" vertical="center"/>
    </xf>
    <xf numFmtId="9" fontId="65" fillId="0" borderId="0" applyAlignment="1" pivotButton="0" quotePrefix="0" xfId="0">
      <alignment horizontal="center" vertical="center"/>
    </xf>
    <xf numFmtId="0" fontId="50" fillId="4" borderId="34" applyAlignment="1" pivotButton="0" quotePrefix="0" xfId="0">
      <alignment horizontal="center" vertical="center" wrapText="1"/>
    </xf>
    <xf numFmtId="0" fontId="50" fillId="12" borderId="34" applyAlignment="1" pivotButton="0" quotePrefix="0" xfId="0">
      <alignment horizontal="center" vertical="center" wrapText="1"/>
    </xf>
    <xf numFmtId="0" fontId="50" fillId="0" borderId="35" applyAlignment="1" pivotButton="0" quotePrefix="0" xfId="0">
      <alignment horizontal="center" vertical="center"/>
    </xf>
    <xf numFmtId="164" fontId="50" fillId="0" borderId="30" applyAlignment="1" pivotButton="0" quotePrefix="0" xfId="1">
      <alignment horizontal="center" vertical="center"/>
    </xf>
    <xf numFmtId="164" fontId="50" fillId="7" borderId="35" applyAlignment="1" pivotButton="0" quotePrefix="0" xfId="1">
      <alignment horizontal="center" vertical="center"/>
    </xf>
    <xf numFmtId="164" fontId="50" fillId="0" borderId="35" applyAlignment="1" pivotButton="0" quotePrefix="0" xfId="1">
      <alignment horizontal="center" vertical="center"/>
    </xf>
    <xf numFmtId="164" fontId="50" fillId="0" borderId="0" applyAlignment="1" pivotButton="0" quotePrefix="0" xfId="0">
      <alignment horizontal="center" vertical="center"/>
    </xf>
    <xf numFmtId="9" fontId="66" fillId="0" borderId="0" applyAlignment="1" pivotButton="0" quotePrefix="0" xfId="5">
      <alignment horizontal="center" vertical="center"/>
    </xf>
    <xf numFmtId="164" fontId="50" fillId="7" borderId="34" applyAlignment="1" pivotButton="0" quotePrefix="0" xfId="1">
      <alignment horizontal="center" vertical="center"/>
    </xf>
    <xf numFmtId="1" fontId="50" fillId="0" borderId="43" applyAlignment="1" pivotButton="0" quotePrefix="0" xfId="0">
      <alignment horizontal="center" vertical="center" wrapText="1"/>
    </xf>
    <xf numFmtId="0" fontId="50" fillId="0" borderId="25" applyAlignment="1" pivotButton="0" quotePrefix="0" xfId="0">
      <alignment horizontal="center" vertical="center"/>
    </xf>
    <xf numFmtId="164" fontId="50" fillId="0" borderId="25" applyAlignment="1" pivotButton="0" quotePrefix="0" xfId="1">
      <alignment horizontal="center" vertical="center"/>
    </xf>
    <xf numFmtId="164" fontId="50" fillId="7" borderId="25" applyAlignment="1" pivotButton="0" quotePrefix="0" xfId="1">
      <alignment horizontal="center" vertical="center"/>
    </xf>
    <xf numFmtId="0" fontId="50" fillId="0" borderId="24" applyAlignment="1" pivotButton="0" quotePrefix="0" xfId="0">
      <alignment horizontal="center" vertical="center"/>
    </xf>
    <xf numFmtId="0" fontId="50" fillId="0" borderId="39" applyAlignment="1" pivotButton="0" quotePrefix="0" xfId="0">
      <alignment horizontal="center" vertical="center"/>
    </xf>
    <xf numFmtId="164" fontId="50" fillId="7" borderId="30" applyAlignment="1" pivotButton="0" quotePrefix="0" xfId="1">
      <alignment horizontal="center" vertical="center"/>
    </xf>
    <xf numFmtId="164" fontId="50" fillId="0" borderId="29" applyAlignment="1" pivotButton="0" quotePrefix="0" xfId="0">
      <alignment horizontal="center" vertical="center"/>
    </xf>
    <xf numFmtId="0" fontId="50" fillId="0" borderId="47" applyAlignment="1" pivotButton="0" quotePrefix="0" xfId="0">
      <alignment horizontal="center" vertical="center"/>
    </xf>
    <xf numFmtId="0" fontId="50" fillId="0" borderId="36" applyAlignment="1" pivotButton="0" quotePrefix="0" xfId="0">
      <alignment horizontal="center" vertical="center"/>
    </xf>
    <xf numFmtId="0" fontId="50" fillId="0" borderId="26" applyAlignment="1" pivotButton="0" quotePrefix="0" xfId="0">
      <alignment horizontal="center" vertical="center"/>
    </xf>
    <xf numFmtId="1" fontId="64" fillId="25" borderId="51" applyAlignment="1" pivotButton="0" quotePrefix="0" xfId="0">
      <alignment horizontal="center" vertical="center" wrapText="1"/>
    </xf>
    <xf numFmtId="0" fontId="64" fillId="25" borderId="39" applyAlignment="1" pivotButton="0" quotePrefix="0" xfId="0">
      <alignment horizontal="center" vertical="center"/>
    </xf>
    <xf numFmtId="164" fontId="64" fillId="25" borderId="30" applyAlignment="1" pivotButton="0" quotePrefix="0" xfId="1">
      <alignment horizontal="center" vertical="center"/>
    </xf>
    <xf numFmtId="9" fontId="66" fillId="26" borderId="0" applyAlignment="1" pivotButton="0" quotePrefix="0" xfId="5">
      <alignment horizontal="center" vertical="center"/>
    </xf>
    <xf numFmtId="1" fontId="64" fillId="25" borderId="52" applyAlignment="1" pivotButton="0" quotePrefix="0" xfId="0">
      <alignment horizontal="center" vertical="center" wrapText="1"/>
    </xf>
    <xf numFmtId="0" fontId="64" fillId="25" borderId="26" applyAlignment="1" pivotButton="0" quotePrefix="0" xfId="0">
      <alignment horizontal="center" vertical="center"/>
    </xf>
    <xf numFmtId="164" fontId="64" fillId="25" borderId="25" applyAlignment="1" pivotButton="0" quotePrefix="0" xfId="1">
      <alignment horizontal="center" vertical="center"/>
    </xf>
    <xf numFmtId="1" fontId="50" fillId="0" borderId="48" applyAlignment="1" pivotButton="0" quotePrefix="0" xfId="0">
      <alignment horizontal="center" vertical="center" wrapText="1"/>
    </xf>
    <xf numFmtId="1" fontId="64" fillId="25" borderId="54" applyAlignment="1" pivotButton="0" quotePrefix="0" xfId="0">
      <alignment horizontal="center" vertical="center" wrapText="1"/>
    </xf>
    <xf numFmtId="0" fontId="64" fillId="25" borderId="36" applyAlignment="1" pivotButton="0" quotePrefix="0" xfId="0">
      <alignment horizontal="center" vertical="center"/>
    </xf>
    <xf numFmtId="164" fontId="64" fillId="25" borderId="35" applyAlignment="1" pivotButton="0" quotePrefix="0" xfId="1">
      <alignment horizontal="center" vertical="center"/>
    </xf>
    <xf numFmtId="0" fontId="50" fillId="0" borderId="31" applyAlignment="1" pivotButton="0" quotePrefix="0" xfId="0">
      <alignment horizontal="center" vertical="center"/>
    </xf>
    <xf numFmtId="164" fontId="50" fillId="7" borderId="41" applyAlignment="1" pivotButton="0" quotePrefix="0" xfId="1">
      <alignment horizontal="center" vertical="center"/>
    </xf>
    <xf numFmtId="0" fontId="50" fillId="0" borderId="0" applyAlignment="1" pivotButton="0" quotePrefix="0" xfId="0">
      <alignment horizontal="center" vertical="center" wrapText="1"/>
    </xf>
    <xf numFmtId="1" fontId="50" fillId="0" borderId="0" applyAlignment="1" pivotButton="0" quotePrefix="0" xfId="0">
      <alignment horizontal="center" vertical="center" wrapText="1"/>
    </xf>
    <xf numFmtId="164" fontId="50" fillId="0" borderId="0" applyAlignment="1" pivotButton="0" quotePrefix="0" xfId="1">
      <alignment horizontal="center" vertical="center"/>
    </xf>
    <xf numFmtId="164" fontId="50" fillId="7" borderId="0" applyAlignment="1" pivotButton="0" quotePrefix="0" xfId="1">
      <alignment horizontal="center" vertical="center"/>
    </xf>
    <xf numFmtId="1" fontId="64" fillId="25" borderId="37" applyAlignment="1" pivotButton="0" quotePrefix="0" xfId="0">
      <alignment horizontal="center" vertical="center" wrapText="1"/>
    </xf>
    <xf numFmtId="164" fontId="50" fillId="15" borderId="0" applyAlignment="1" pivotButton="0" quotePrefix="0" xfId="0">
      <alignment horizontal="center" vertical="center"/>
    </xf>
    <xf numFmtId="164" fontId="50" fillId="15" borderId="34" applyAlignment="1" pivotButton="0" quotePrefix="0" xfId="0">
      <alignment horizontal="center" vertical="center"/>
    </xf>
    <xf numFmtId="1" fontId="64" fillId="25" borderId="27" applyAlignment="1" pivotButton="0" quotePrefix="0" xfId="0">
      <alignment horizontal="center" vertical="center" wrapText="1"/>
    </xf>
    <xf numFmtId="164" fontId="50" fillId="7" borderId="24" applyAlignment="1" pivotButton="0" quotePrefix="0" xfId="1">
      <alignment horizontal="center" vertical="center"/>
    </xf>
    <xf numFmtId="0" fontId="50" fillId="15" borderId="24" applyAlignment="1" pivotButton="0" quotePrefix="0" xfId="0">
      <alignment horizontal="center" vertical="center"/>
    </xf>
    <xf numFmtId="1" fontId="64" fillId="25" borderId="45" applyAlignment="1" pivotButton="0" quotePrefix="0" xfId="0">
      <alignment horizontal="center" vertical="center" wrapText="1"/>
    </xf>
    <xf numFmtId="0" fontId="64" fillId="25" borderId="47" applyAlignment="1" pivotButton="0" quotePrefix="0" xfId="0">
      <alignment horizontal="center" vertical="center"/>
    </xf>
    <xf numFmtId="164" fontId="50" fillId="7" borderId="29" applyAlignment="1" pivotButton="0" quotePrefix="0" xfId="1">
      <alignment horizontal="center" vertical="center"/>
    </xf>
    <xf numFmtId="164" fontId="63" fillId="0" borderId="0" applyAlignment="1" pivotButton="0" quotePrefix="0" xfId="0">
      <alignment horizontal="center" vertical="center"/>
    </xf>
    <xf numFmtId="1" fontId="64" fillId="25" borderId="32" applyAlignment="1" pivotButton="0" quotePrefix="0" xfId="0">
      <alignment horizontal="center" vertical="center" wrapText="1"/>
    </xf>
    <xf numFmtId="0" fontId="67" fillId="0" borderId="0" applyAlignment="1" applyProtection="1" pivotButton="0" quotePrefix="0" xfId="0">
      <alignment vertical="center"/>
      <protection locked="0" hidden="0"/>
    </xf>
    <xf numFmtId="164" fontId="40" fillId="0" borderId="0" applyAlignment="1" pivotButton="0" quotePrefix="0" xfId="1">
      <alignment horizontal="left" vertical="center"/>
    </xf>
    <xf numFmtId="1" fontId="38" fillId="0" borderId="0" applyAlignment="1" pivotButton="0" quotePrefix="0" xfId="0">
      <alignment horizontal="center" vertical="center"/>
    </xf>
    <xf numFmtId="1" fontId="38" fillId="0" borderId="0" applyAlignment="1" pivotButton="0" quotePrefix="1" xfId="0">
      <alignment horizontal="center" vertical="center"/>
    </xf>
    <xf numFmtId="1" fontId="38" fillId="19" borderId="0" applyAlignment="1" pivotButton="0" quotePrefix="0" xfId="0">
      <alignment horizontal="center" vertical="center"/>
    </xf>
    <xf numFmtId="1" fontId="60" fillId="0" borderId="0" pivotButton="0" quotePrefix="0" xfId="0"/>
    <xf numFmtId="2" fontId="40" fillId="0" borderId="0" applyAlignment="1" applyProtection="1" pivotButton="0" quotePrefix="0" xfId="1">
      <alignment horizontal="right" vertical="center"/>
      <protection locked="0" hidden="0"/>
    </xf>
    <xf numFmtId="49" fontId="38" fillId="0" borderId="0" applyAlignment="1" pivotButton="0" quotePrefix="1" xfId="0">
      <alignment horizontal="center" vertical="center"/>
    </xf>
    <xf numFmtId="166" fontId="46" fillId="0" borderId="0" applyAlignment="1" applyProtection="1" pivotButton="0" quotePrefix="0" xfId="0">
      <alignment horizontal="center" vertical="center"/>
      <protection locked="0" hidden="0"/>
    </xf>
    <xf numFmtId="166" fontId="46" fillId="0" borderId="67" applyAlignment="1" pivotButton="0" quotePrefix="0" xfId="0">
      <alignment horizontal="center" vertical="center"/>
    </xf>
    <xf numFmtId="0" fontId="39" fillId="0" borderId="0" applyAlignment="1" pivotButton="0" quotePrefix="0" xfId="5">
      <alignment horizontal="center" vertical="center"/>
    </xf>
    <xf numFmtId="2" fontId="38" fillId="0" borderId="0" applyAlignment="1" pivotButton="0" quotePrefix="0" xfId="1">
      <alignment horizontal="center" vertical="center"/>
    </xf>
    <xf numFmtId="164" fontId="38" fillId="0" borderId="0" applyAlignment="1" pivotButton="0" quotePrefix="0" xfId="1">
      <alignment horizontal="center" vertical="center"/>
    </xf>
    <xf numFmtId="9" fontId="40" fillId="0" borderId="0" applyAlignment="1" pivotButton="0" quotePrefix="0" xfId="5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horizontal="center" vertical="center"/>
    </xf>
    <xf numFmtId="0" fontId="67" fillId="0" borderId="0" applyAlignment="1" applyProtection="1" pivotButton="0" quotePrefix="0" xfId="6">
      <alignment horizontal="center" vertical="center"/>
      <protection locked="0" hidden="0"/>
    </xf>
    <xf numFmtId="1" fontId="40" fillId="0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40" fillId="0" borderId="0" applyAlignment="1" applyProtection="1" pivotButton="0" quotePrefix="0" xfId="3">
      <alignment horizontal="center" vertical="center"/>
      <protection locked="0" hidden="0"/>
    </xf>
    <xf numFmtId="0" fontId="67" fillId="0" borderId="0" applyAlignment="1" pivotButton="0" quotePrefix="0" xfId="0">
      <alignment vertical="center"/>
    </xf>
    <xf numFmtId="0" fontId="38" fillId="0" borderId="0" applyAlignment="1" pivotButton="0" quotePrefix="0" xfId="5">
      <alignment horizontal="center" vertical="center"/>
    </xf>
    <xf numFmtId="14" fontId="39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 wrapText="1"/>
    </xf>
    <xf numFmtId="14" fontId="3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4" fontId="38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 wrapText="1"/>
    </xf>
    <xf numFmtId="0" fontId="38" fillId="27" borderId="0" applyAlignment="1" pivotButton="0" quotePrefix="0" xfId="0">
      <alignment horizontal="center" vertical="center"/>
    </xf>
    <xf numFmtId="0" fontId="40" fillId="28" borderId="0" applyAlignment="1" pivotButton="0" quotePrefix="0" xfId="0">
      <alignment horizontal="center" vertical="center"/>
    </xf>
    <xf numFmtId="2" fontId="39" fillId="4" borderId="0" applyAlignment="1" pivotButton="0" quotePrefix="0" xfId="0">
      <alignment horizontal="center" vertical="center"/>
    </xf>
    <xf numFmtId="0" fontId="69" fillId="0" borderId="0" applyAlignment="1" applyProtection="1" pivotButton="0" quotePrefix="0" xfId="0">
      <alignment vertical="center"/>
      <protection locked="0" hidden="0"/>
    </xf>
    <xf numFmtId="0" fontId="69" fillId="0" borderId="0" applyAlignment="1" applyProtection="1" pivotButton="0" quotePrefix="0" xfId="0">
      <alignment horizontal="right" vertical="center"/>
      <protection locked="0" hidden="0"/>
    </xf>
    <xf numFmtId="0" fontId="40" fillId="0" borderId="0" applyAlignment="1" pivotButton="0" quotePrefix="0" xfId="0">
      <alignment horizontal="center" vertical="center" wrapText="1"/>
    </xf>
    <xf numFmtId="166" fontId="46" fillId="0" borderId="31" applyAlignment="1" pivotButton="0" quotePrefix="0" xfId="0">
      <alignment horizontal="center" vertical="center"/>
    </xf>
    <xf numFmtId="166" fontId="46" fillId="15" borderId="0" applyAlignment="1" pivotButton="0" quotePrefix="0" xfId="0">
      <alignment horizontal="center" vertical="center"/>
    </xf>
    <xf numFmtId="0" fontId="38" fillId="15" borderId="0" applyAlignment="1" pivotButton="0" quotePrefix="0" xfId="0">
      <alignment horizontal="center"/>
    </xf>
    <xf numFmtId="1" fontId="46" fillId="15" borderId="31" applyAlignment="1" pivotButton="0" quotePrefix="0" xfId="0">
      <alignment horizontal="center" vertical="center"/>
    </xf>
    <xf numFmtId="0" fontId="46" fillId="15" borderId="31" applyAlignment="1" pivotButton="0" quotePrefix="0" xfId="0">
      <alignment horizontal="center" vertical="center"/>
    </xf>
    <xf numFmtId="166" fontId="46" fillId="15" borderId="31" applyAlignment="1" pivotButton="0" quotePrefix="0" xfId="0">
      <alignment horizontal="center" vertical="center"/>
    </xf>
    <xf numFmtId="1" fontId="46" fillId="0" borderId="31" applyAlignment="1" pivotButton="0" quotePrefix="0" xfId="0">
      <alignment horizontal="center" vertical="center"/>
    </xf>
    <xf numFmtId="0" fontId="46" fillId="0" borderId="31" applyAlignment="1" pivotButton="0" quotePrefix="0" xfId="0">
      <alignment horizontal="center" vertical="center"/>
    </xf>
    <xf numFmtId="164" fontId="72" fillId="15" borderId="31" applyAlignment="1" pivotButton="0" quotePrefix="0" xfId="1">
      <alignment vertical="center"/>
    </xf>
    <xf numFmtId="0" fontId="71" fillId="15" borderId="31" applyAlignment="1" pivotButton="0" quotePrefix="0" xfId="0">
      <alignment horizontal="center" vertical="center"/>
    </xf>
    <xf numFmtId="0" fontId="70" fillId="0" borderId="0" applyAlignment="1" applyProtection="1" pivotButton="0" quotePrefix="0" xfId="0">
      <alignment vertical="center"/>
      <protection locked="0" hidden="0"/>
    </xf>
    <xf numFmtId="1" fontId="46" fillId="4" borderId="31" applyAlignment="1" pivotButton="0" quotePrefix="0" xfId="0">
      <alignment horizontal="center" vertical="center"/>
    </xf>
    <xf numFmtId="0" fontId="73" fillId="0" borderId="0" pivotButton="0" quotePrefix="0" xfId="0"/>
    <xf numFmtId="0" fontId="17" fillId="7" borderId="1" applyAlignment="1" pivotButton="0" quotePrefix="0" xfId="0">
      <alignment horizontal="center" vertical="center"/>
    </xf>
    <xf numFmtId="0" fontId="17" fillId="7" borderId="2" applyAlignment="1" pivotButton="0" quotePrefix="0" xfId="0">
      <alignment horizontal="center" vertical="center"/>
    </xf>
    <xf numFmtId="0" fontId="17" fillId="7" borderId="3" applyAlignment="1" pivotButton="0" quotePrefix="0" xfId="0">
      <alignment horizontal="center" vertical="center"/>
    </xf>
    <xf numFmtId="0" fontId="36" fillId="14" borderId="82" applyAlignment="1" pivotButton="0" quotePrefix="1" xfId="0">
      <alignment horizontal="center" vertical="center"/>
    </xf>
    <xf numFmtId="0" fontId="36" fillId="14" borderId="82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/>
    </xf>
    <xf numFmtId="0" fontId="43" fillId="0" borderId="0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 vertical="center"/>
    </xf>
    <xf numFmtId="0" fontId="23" fillId="4" borderId="43" applyAlignment="1" pivotButton="0" quotePrefix="0" xfId="0">
      <alignment horizontal="left"/>
    </xf>
    <xf numFmtId="0" fontId="64" fillId="25" borderId="40" applyAlignment="1" pivotButton="0" quotePrefix="0" xfId="0">
      <alignment horizontal="center" vertical="center" wrapText="1"/>
    </xf>
    <xf numFmtId="0" fontId="64" fillId="25" borderId="28" applyAlignment="1" pivotButton="0" quotePrefix="0" xfId="0">
      <alignment horizontal="center" vertical="center" wrapText="1"/>
    </xf>
    <xf numFmtId="164" fontId="50" fillId="0" borderId="35" applyAlignment="1" pivotButton="0" quotePrefix="0" xfId="1">
      <alignment horizontal="center" vertical="center"/>
    </xf>
    <xf numFmtId="164" fontId="50" fillId="0" borderId="25" applyAlignment="1" pivotButton="0" quotePrefix="0" xfId="1">
      <alignment horizontal="center" vertical="center"/>
    </xf>
    <xf numFmtId="164" fontId="50" fillId="0" borderId="30" applyAlignment="1" pivotButton="0" quotePrefix="0" xfId="0">
      <alignment horizontal="center" vertical="center"/>
    </xf>
    <xf numFmtId="164" fontId="50" fillId="0" borderId="25" applyAlignment="1" pivotButton="0" quotePrefix="0" xfId="0">
      <alignment horizontal="center" vertical="center"/>
    </xf>
    <xf numFmtId="164" fontId="50" fillId="0" borderId="34" applyAlignment="1" pivotButton="0" quotePrefix="0" xfId="0">
      <alignment horizontal="center" vertical="center"/>
    </xf>
    <xf numFmtId="0" fontId="50" fillId="0" borderId="24" applyAlignment="1" pivotButton="0" quotePrefix="0" xfId="0">
      <alignment horizontal="center" vertical="center"/>
    </xf>
    <xf numFmtId="0" fontId="49" fillId="14" borderId="0" applyAlignment="1" pivotButton="0" quotePrefix="0" xfId="0">
      <alignment horizontal="center" vertical="center" wrapText="1"/>
    </xf>
    <xf numFmtId="0" fontId="49" fillId="14" borderId="43" applyAlignment="1" pivotButton="0" quotePrefix="0" xfId="0">
      <alignment horizontal="center" vertical="center" wrapText="1"/>
    </xf>
    <xf numFmtId="0" fontId="50" fillId="0" borderId="86" applyAlignment="1" pivotButton="0" quotePrefix="0" xfId="0">
      <alignment horizontal="center" vertical="center" wrapText="1"/>
    </xf>
    <xf numFmtId="0" fontId="50" fillId="0" borderId="88" applyAlignment="1" pivotButton="0" quotePrefix="0" xfId="0">
      <alignment horizontal="center" vertical="center" wrapText="1"/>
    </xf>
    <xf numFmtId="164" fontId="50" fillId="0" borderId="35" applyAlignment="1" pivotButton="0" quotePrefix="0" xfId="0">
      <alignment horizontal="center" vertical="center"/>
    </xf>
    <xf numFmtId="164" fontId="50" fillId="0" borderId="24" applyAlignment="1" pivotButton="0" quotePrefix="0" xfId="0">
      <alignment horizontal="center" vertical="center"/>
    </xf>
    <xf numFmtId="0" fontId="50" fillId="0" borderId="90" applyAlignment="1" pivotButton="0" quotePrefix="0" xfId="0">
      <alignment horizontal="center" vertical="center" wrapText="1"/>
    </xf>
    <xf numFmtId="164" fontId="50" fillId="0" borderId="30" applyAlignment="1" pivotButton="0" quotePrefix="0" xfId="1">
      <alignment horizontal="center" vertical="center"/>
    </xf>
    <xf numFmtId="164" fontId="50" fillId="0" borderId="87" applyAlignment="1" pivotButton="0" quotePrefix="0" xfId="0">
      <alignment horizontal="center" vertical="center"/>
    </xf>
    <xf numFmtId="164" fontId="50" fillId="0" borderId="91" applyAlignment="1" pivotButton="0" quotePrefix="0" xfId="0">
      <alignment horizontal="center" vertical="center"/>
    </xf>
    <xf numFmtId="164" fontId="50" fillId="0" borderId="89" applyAlignment="1" pivotButton="0" quotePrefix="0" xfId="0">
      <alignment horizontal="center" vertical="center"/>
    </xf>
    <xf numFmtId="164" fontId="50" fillId="0" borderId="29" applyAlignment="1" pivotButton="0" quotePrefix="0" xfId="0">
      <alignment horizontal="center" vertical="center"/>
    </xf>
    <xf numFmtId="0" fontId="64" fillId="25" borderId="86" applyAlignment="1" pivotButton="0" quotePrefix="0" xfId="0">
      <alignment horizontal="center" vertical="center" wrapText="1"/>
    </xf>
    <xf numFmtId="0" fontId="64" fillId="25" borderId="88" applyAlignment="1" pivotButton="0" quotePrefix="0" xfId="0">
      <alignment horizontal="center" vertical="center" wrapText="1"/>
    </xf>
    <xf numFmtId="164" fontId="50" fillId="15" borderId="35" applyAlignment="1" pivotButton="0" quotePrefix="0" xfId="1">
      <alignment horizontal="center" vertical="center"/>
    </xf>
    <xf numFmtId="164" fontId="50" fillId="15" borderId="25" applyAlignment="1" pivotButton="0" quotePrefix="0" xfId="1">
      <alignment horizontal="center" vertical="center"/>
    </xf>
    <xf numFmtId="164" fontId="50" fillId="15" borderId="87" applyAlignment="1" pivotButton="0" quotePrefix="0" xfId="0">
      <alignment horizontal="center" vertical="center"/>
    </xf>
    <xf numFmtId="164" fontId="50" fillId="15" borderId="89" applyAlignment="1" pivotButton="0" quotePrefix="0" xfId="0">
      <alignment horizontal="center" vertical="center"/>
    </xf>
    <xf numFmtId="0" fontId="50" fillId="0" borderId="40" applyAlignment="1" pivotButton="0" quotePrefix="0" xfId="0">
      <alignment horizontal="center" vertical="center" wrapText="1"/>
    </xf>
    <xf numFmtId="0" fontId="50" fillId="0" borderId="49" applyAlignment="1" pivotButton="0" quotePrefix="0" xfId="0">
      <alignment horizontal="center" vertical="center" wrapText="1"/>
    </xf>
    <xf numFmtId="0" fontId="50" fillId="0" borderId="29" applyAlignment="1" pivotButton="0" quotePrefix="0" xfId="0">
      <alignment horizontal="center" vertical="center"/>
    </xf>
    <xf numFmtId="0" fontId="50" fillId="0" borderId="38" applyAlignment="1" pivotButton="0" quotePrefix="0" xfId="0">
      <alignment horizontal="center" vertical="center" wrapText="1"/>
    </xf>
    <xf numFmtId="0" fontId="50" fillId="0" borderId="28" applyAlignment="1" pivotButton="0" quotePrefix="0" xfId="0">
      <alignment horizontal="center" vertical="center" wrapText="1"/>
    </xf>
    <xf numFmtId="0" fontId="64" fillId="25" borderId="38" applyAlignment="1" pivotButton="0" quotePrefix="0" xfId="0">
      <alignment horizontal="center" vertical="center" wrapText="1"/>
    </xf>
    <xf numFmtId="164" fontId="0" fillId="0" borderId="35" applyAlignment="1" pivotButton="0" quotePrefix="0" xfId="1">
      <alignment horizontal="center" vertical="center"/>
    </xf>
    <xf numFmtId="164" fontId="0" fillId="0" borderId="25" applyAlignment="1" pivotButton="0" quotePrefix="0" xfId="1">
      <alignment horizontal="center" vertical="center"/>
    </xf>
    <xf numFmtId="164" fontId="0" fillId="0" borderId="30" applyAlignment="1" pivotButton="0" quotePrefix="0" xfId="0">
      <alignment horizontal="center" vertical="center"/>
    </xf>
    <xf numFmtId="164" fontId="0" fillId="0" borderId="25" applyAlignment="1" pivotButton="0" quotePrefix="0" xfId="0">
      <alignment horizontal="center" vertical="center"/>
    </xf>
    <xf numFmtId="164" fontId="0" fillId="0" borderId="29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164" fontId="0" fillId="0" borderId="30" applyAlignment="1" pivotButton="0" quotePrefix="0" xfId="1">
      <alignment horizontal="center" vertical="center"/>
    </xf>
    <xf numFmtId="164" fontId="0" fillId="0" borderId="35" applyAlignment="1" pivotButton="0" quotePrefix="0" xfId="0">
      <alignment horizontal="center" vertical="center"/>
    </xf>
    <xf numFmtId="164" fontId="0" fillId="0" borderId="34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26" fillId="19" borderId="46" applyAlignment="1" pivotButton="0" quotePrefix="0" xfId="0">
      <alignment horizontal="center" vertical="center" wrapText="1"/>
    </xf>
    <xf numFmtId="0" fontId="26" fillId="19" borderId="44" applyAlignment="1" pivotButton="0" quotePrefix="0" xfId="0">
      <alignment horizontal="center" vertical="center" wrapText="1"/>
    </xf>
    <xf numFmtId="0" fontId="25" fillId="14" borderId="0" applyAlignment="1" pivotButton="0" quotePrefix="0" xfId="0">
      <alignment horizontal="center" vertical="center" wrapText="1"/>
    </xf>
    <xf numFmtId="0" fontId="25" fillId="14" borderId="43" applyAlignment="1" pivotButton="0" quotePrefix="0" xfId="0">
      <alignment horizontal="center" vertical="center" wrapText="1"/>
    </xf>
    <xf numFmtId="0" fontId="0" fillId="0" borderId="40" applyAlignment="1" pivotButton="0" quotePrefix="0" xfId="0">
      <alignment horizontal="center" vertical="center" wrapText="1"/>
    </xf>
    <xf numFmtId="0" fontId="24" fillId="0" borderId="40" applyAlignment="1" pivotButton="0" quotePrefix="0" xfId="0">
      <alignment horizontal="center" vertical="center" wrapText="1"/>
    </xf>
    <xf numFmtId="0" fontId="24" fillId="0" borderId="28" applyAlignment="1" pivotButton="0" quotePrefix="0" xfId="0">
      <alignment horizontal="center" vertical="center" wrapText="1"/>
    </xf>
    <xf numFmtId="0" fontId="26" fillId="19" borderId="40" applyAlignment="1" pivotButton="0" quotePrefix="0" xfId="0">
      <alignment horizontal="center" vertical="center" wrapText="1"/>
    </xf>
    <xf numFmtId="0" fontId="26" fillId="19" borderId="28" applyAlignment="1" pivotButton="0" quotePrefix="0" xfId="0">
      <alignment horizontal="center" vertical="center" wrapText="1"/>
    </xf>
    <xf numFmtId="0" fontId="24" fillId="0" borderId="38" applyAlignment="1" pivotButton="0" quotePrefix="0" xfId="0">
      <alignment horizontal="center" vertical="center" wrapText="1"/>
    </xf>
    <xf numFmtId="0" fontId="24" fillId="0" borderId="33" applyAlignment="1" pivotButton="0" quotePrefix="0" xfId="0">
      <alignment horizontal="center" vertical="center" wrapText="1"/>
    </xf>
    <xf numFmtId="0" fontId="24" fillId="0" borderId="49" applyAlignment="1" pivotButton="0" quotePrefix="0" xfId="0">
      <alignment horizontal="center" vertical="center" wrapText="1"/>
    </xf>
    <xf numFmtId="0" fontId="26" fillId="0" borderId="40" applyAlignment="1" pivotButton="0" quotePrefix="0" xfId="0">
      <alignment horizontal="center" vertical="center" wrapText="1"/>
    </xf>
    <xf numFmtId="0" fontId="26" fillId="0" borderId="28" applyAlignment="1" pivotButton="0" quotePrefix="0" xfId="0">
      <alignment horizontal="center" vertical="center" wrapText="1"/>
    </xf>
    <xf numFmtId="0" fontId="24" fillId="19" borderId="40" applyAlignment="1" pivotButton="0" quotePrefix="0" xfId="0">
      <alignment horizontal="center" vertical="center" wrapText="1"/>
    </xf>
    <xf numFmtId="0" fontId="24" fillId="19" borderId="28" applyAlignment="1" pivotButton="0" quotePrefix="0" xfId="0">
      <alignment horizontal="center" vertical="center" wrapText="1"/>
    </xf>
    <xf numFmtId="164" fontId="0" fillId="15" borderId="35" applyAlignment="1" pivotButton="0" quotePrefix="0" xfId="1">
      <alignment horizontal="center" vertical="center"/>
    </xf>
    <xf numFmtId="164" fontId="0" fillId="15" borderId="25" applyAlignment="1" pivotButton="0" quotePrefix="0" xfId="1">
      <alignment horizontal="center" vertical="center"/>
    </xf>
    <xf numFmtId="164" fontId="0" fillId="15" borderId="30" applyAlignment="1" pivotButton="0" quotePrefix="0" xfId="0">
      <alignment horizontal="center" vertical="center"/>
    </xf>
    <xf numFmtId="164" fontId="0" fillId="15" borderId="25" applyAlignment="1" pivotButton="0" quotePrefix="0" xfId="0">
      <alignment horizontal="center" vertical="center"/>
    </xf>
    <xf numFmtId="164" fontId="0" fillId="15" borderId="29" applyAlignment="1" pivotButton="0" quotePrefix="0" xfId="0">
      <alignment horizontal="center" vertical="center"/>
    </xf>
    <xf numFmtId="0" fontId="0" fillId="15" borderId="24" applyAlignment="1" pivotButton="0" quotePrefix="0" xfId="0">
      <alignment horizontal="center" vertical="center"/>
    </xf>
    <xf numFmtId="0" fontId="24" fillId="19" borderId="38" applyAlignment="1" pivotButton="0" quotePrefix="0" xfId="0">
      <alignment horizontal="center" vertical="center" wrapText="1"/>
    </xf>
    <xf numFmtId="0" fontId="24" fillId="19" borderId="33" applyAlignment="1" pivotButton="0" quotePrefix="0" xfId="0">
      <alignment horizontal="center" vertical="center" wrapText="1"/>
    </xf>
    <xf numFmtId="0" fontId="26" fillId="0" borderId="58" applyAlignment="1" pivotButton="0" quotePrefix="0" xfId="0">
      <alignment horizontal="center" vertical="center" wrapText="1"/>
    </xf>
    <xf numFmtId="0" fontId="26" fillId="0" borderId="53" applyAlignment="1" pivotButton="0" quotePrefix="0" xfId="0">
      <alignment horizontal="center" vertical="center" wrapText="1"/>
    </xf>
    <xf numFmtId="0" fontId="26" fillId="0" borderId="57" applyAlignment="1" pivotButton="0" quotePrefix="0" xfId="0">
      <alignment horizontal="center" vertical="center" wrapText="1"/>
    </xf>
    <xf numFmtId="0" fontId="26" fillId="0" borderId="55" applyAlignment="1" pivotButton="0" quotePrefix="0" xfId="0">
      <alignment horizontal="center" vertical="center" wrapText="1"/>
    </xf>
    <xf numFmtId="0" fontId="26" fillId="19" borderId="58" applyAlignment="1" pivotButton="0" quotePrefix="0" xfId="0">
      <alignment horizontal="center" vertical="center" wrapText="1"/>
    </xf>
    <xf numFmtId="0" fontId="26" fillId="19" borderId="53" applyAlignment="1" pivotButton="0" quotePrefix="0" xfId="0">
      <alignment horizontal="center" vertical="center" wrapText="1"/>
    </xf>
    <xf numFmtId="164" fontId="0" fillId="0" borderId="0" pivotButton="0" quotePrefix="0" xfId="1"/>
    <xf numFmtId="164" fontId="9" fillId="0" borderId="0" applyAlignment="1" pivotButton="0" quotePrefix="0" xfId="1">
      <alignment horizontal="center" vertical="center" wrapText="1"/>
    </xf>
    <xf numFmtId="164" fontId="9" fillId="0" borderId="0" applyAlignment="1" pivotButton="0" quotePrefix="0" xfId="1">
      <alignment horizontal="center" vertical="center"/>
    </xf>
    <xf numFmtId="164" fontId="0" fillId="0" borderId="0" applyProtection="1" pivotButton="0" quotePrefix="0" xfId="1">
      <protection locked="0" hidden="0"/>
    </xf>
    <xf numFmtId="164" fontId="10" fillId="0" borderId="0" pivotButton="0" quotePrefix="0" xfId="1"/>
    <xf numFmtId="164" fontId="10" fillId="0" borderId="0" applyAlignment="1" pivotButton="0" quotePrefix="0" xfId="1">
      <alignment horizontal="center" vertical="center"/>
    </xf>
    <xf numFmtId="164" fontId="6" fillId="3" borderId="0" applyAlignment="1" pivotButton="0" quotePrefix="0" xfId="1">
      <alignment horizontal="center"/>
    </xf>
    <xf numFmtId="164" fontId="6" fillId="4" borderId="0" applyAlignment="1" applyProtection="1" pivotButton="0" quotePrefix="0" xfId="1">
      <alignment horizontal="center"/>
      <protection locked="0" hidden="0"/>
    </xf>
    <xf numFmtId="164" fontId="0" fillId="0" borderId="0" applyProtection="1" pivotButton="0" quotePrefix="0" xfId="0">
      <protection locked="0" hidden="0"/>
    </xf>
    <xf numFmtId="164" fontId="0" fillId="6" borderId="0" pivotButton="0" quotePrefix="0" xfId="1"/>
    <xf numFmtId="164" fontId="38" fillId="0" borderId="0" applyAlignment="1" pivotButton="0" quotePrefix="0" xfId="1">
      <alignment horizontal="center" vertical="center"/>
    </xf>
    <xf numFmtId="164" fontId="39" fillId="0" borderId="0" applyAlignment="1" pivotButton="0" quotePrefix="0" xfId="1">
      <alignment horizontal="center" vertical="center"/>
    </xf>
    <xf numFmtId="164" fontId="40" fillId="0" borderId="0" applyAlignment="1" pivotButton="0" quotePrefix="0" xfId="1">
      <alignment horizontal="left" vertical="center"/>
    </xf>
    <xf numFmtId="164" fontId="40" fillId="0" borderId="0" applyAlignment="1" pivotButton="0" quotePrefix="0" xfId="1">
      <alignment horizontal="center" vertical="center"/>
    </xf>
    <xf numFmtId="166" fontId="46" fillId="0" borderId="31" applyAlignment="1" pivotButton="0" quotePrefix="0" xfId="0">
      <alignment horizontal="center" vertical="center"/>
    </xf>
    <xf numFmtId="0" fontId="17" fillId="7" borderId="9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2" pivotButton="0" quotePrefix="0" xfId="0"/>
    <xf numFmtId="166" fontId="22" fillId="0" borderId="9" applyAlignment="1" pivotButton="0" quotePrefix="0" xfId="0">
      <alignment vertical="center"/>
    </xf>
    <xf numFmtId="166" fontId="22" fillId="9" borderId="9" applyAlignment="1" pivotButton="0" quotePrefix="0" xfId="0">
      <alignment vertical="center"/>
    </xf>
    <xf numFmtId="164" fontId="24" fillId="4" borderId="0" applyAlignment="1" pivotButton="0" quotePrefix="0" xfId="0">
      <alignment horizontal="center"/>
    </xf>
    <xf numFmtId="164" fontId="24" fillId="7" borderId="0" applyAlignment="1" pivotButton="0" quotePrefix="0" xfId="0">
      <alignment horizontal="center"/>
    </xf>
    <xf numFmtId="164" fontId="0" fillId="0" borderId="0" pivotButton="0" quotePrefix="0" xfId="0"/>
    <xf numFmtId="166" fontId="22" fillId="0" borderId="16" applyAlignment="1" pivotButton="0" quotePrefix="0" xfId="0">
      <alignment vertical="center"/>
    </xf>
    <xf numFmtId="166" fontId="22" fillId="9" borderId="16" applyAlignment="1" pivotButton="0" quotePrefix="0" xfId="0">
      <alignment vertical="center"/>
    </xf>
    <xf numFmtId="164" fontId="24" fillId="7" borderId="43" applyAlignment="1" pivotButton="0" quotePrefix="0" xfId="0">
      <alignment horizontal="center"/>
    </xf>
    <xf numFmtId="166" fontId="22" fillId="0" borderId="74" applyAlignment="1" pivotButton="0" quotePrefix="0" xfId="0">
      <alignment vertical="center"/>
    </xf>
    <xf numFmtId="166" fontId="22" fillId="0" borderId="71" applyAlignment="1" pivotButton="0" quotePrefix="0" xfId="0">
      <alignment vertical="center"/>
    </xf>
    <xf numFmtId="0" fontId="0" fillId="0" borderId="50" pivotButton="0" quotePrefix="0" xfId="0"/>
    <xf numFmtId="166" fontId="46" fillId="0" borderId="0" applyAlignment="1" pivotButton="0" quotePrefix="0" xfId="0">
      <alignment horizontal="center" vertical="center"/>
    </xf>
    <xf numFmtId="166" fontId="44" fillId="0" borderId="0" applyAlignment="1" pivotButton="0" quotePrefix="0" xfId="0">
      <alignment horizontal="center" vertical="center"/>
    </xf>
    <xf numFmtId="166" fontId="46" fillId="19" borderId="0" applyAlignment="1" pivotButton="0" quotePrefix="0" xfId="0">
      <alignment horizontal="center" vertical="center"/>
    </xf>
    <xf numFmtId="166" fontId="44" fillId="19" borderId="0" applyAlignment="1" pivotButton="0" quotePrefix="0" xfId="0">
      <alignment horizontal="center" vertical="center"/>
    </xf>
    <xf numFmtId="166" fontId="46" fillId="0" borderId="0" applyAlignment="1" applyProtection="1" pivotButton="0" quotePrefix="0" xfId="0">
      <alignment horizontal="center" vertical="center"/>
      <protection locked="0" hidden="0"/>
    </xf>
    <xf numFmtId="166" fontId="46" fillId="0" borderId="67" applyAlignment="1" pivotButton="0" quotePrefix="0" xfId="0">
      <alignment horizontal="center" vertical="center"/>
    </xf>
    <xf numFmtId="166" fontId="46" fillId="15" borderId="31" applyAlignment="1" pivotButton="0" quotePrefix="0" xfId="0">
      <alignment horizontal="center" vertical="center"/>
    </xf>
    <xf numFmtId="166" fontId="46" fillId="15" borderId="0" applyAlignment="1" pivotButton="0" quotePrefix="0" xfId="0">
      <alignment horizontal="center" vertical="center"/>
    </xf>
    <xf numFmtId="164" fontId="72" fillId="15" borderId="31" applyAlignment="1" pivotButton="0" quotePrefix="0" xfId="1">
      <alignment vertical="center"/>
    </xf>
    <xf numFmtId="164" fontId="51" fillId="23" borderId="69" applyAlignment="1" pivotButton="0" quotePrefix="0" xfId="1">
      <alignment horizontal="center" vertical="center"/>
    </xf>
    <xf numFmtId="164" fontId="0" fillId="14" borderId="0" applyAlignment="1" pivotButton="0" quotePrefix="0" xfId="0">
      <alignment horizontal="center"/>
    </xf>
    <xf numFmtId="164" fontId="50" fillId="0" borderId="0" applyAlignment="1" pivotButton="0" quotePrefix="0" xfId="1">
      <alignment horizontal="center" vertical="center"/>
    </xf>
    <xf numFmtId="0" fontId="50" fillId="0" borderId="95" applyAlignment="1" pivotButton="0" quotePrefix="0" xfId="0">
      <alignment horizontal="center" vertical="center" wrapText="1"/>
    </xf>
    <xf numFmtId="164" fontId="50" fillId="0" borderId="30" applyAlignment="1" pivotButton="0" quotePrefix="0" xfId="1">
      <alignment horizontal="center" vertical="center"/>
    </xf>
    <xf numFmtId="164" fontId="50" fillId="7" borderId="35" applyAlignment="1" pivotButton="0" quotePrefix="0" xfId="1">
      <alignment horizontal="center" vertical="center"/>
    </xf>
    <xf numFmtId="164" fontId="50" fillId="0" borderId="97" applyAlignment="1" pivotButton="0" quotePrefix="0" xfId="1">
      <alignment horizontal="center" vertical="center"/>
    </xf>
    <xf numFmtId="164" fontId="50" fillId="0" borderId="99" applyAlignment="1" pivotButton="0" quotePrefix="0" xfId="0">
      <alignment horizontal="center" vertical="center"/>
    </xf>
    <xf numFmtId="164" fontId="50" fillId="0" borderId="0" applyAlignment="1" pivotButton="0" quotePrefix="0" xfId="0">
      <alignment horizontal="center" vertical="center"/>
    </xf>
    <xf numFmtId="164" fontId="50" fillId="7" borderId="34" applyAlignment="1" pivotButton="0" quotePrefix="0" xfId="1">
      <alignment horizontal="center" vertical="center"/>
    </xf>
    <xf numFmtId="164" fontId="50" fillId="0" borderId="41" applyAlignment="1" pivotButton="0" quotePrefix="0" xfId="0">
      <alignment horizontal="center" vertical="center"/>
    </xf>
    <xf numFmtId="0" fontId="0" fillId="0" borderId="88" pivotButton="0" quotePrefix="0" xfId="0"/>
    <xf numFmtId="164" fontId="50" fillId="0" borderId="25" applyAlignment="1" pivotButton="0" quotePrefix="0" xfId="1">
      <alignment horizontal="center" vertical="center"/>
    </xf>
    <xf numFmtId="164" fontId="50" fillId="7" borderId="25" applyAlignment="1" pivotButton="0" quotePrefix="0" xfId="1">
      <alignment horizontal="center" vertical="center"/>
    </xf>
    <xf numFmtId="0" fontId="0" fillId="0" borderId="25" pivotButton="0" quotePrefix="0" xfId="0"/>
    <xf numFmtId="0" fontId="0" fillId="0" borderId="89" pivotButton="0" quotePrefix="0" xfId="0"/>
    <xf numFmtId="0" fontId="0" fillId="0" borderId="24" pivotButton="0" quotePrefix="0" xfId="0"/>
    <xf numFmtId="164" fontId="50" fillId="7" borderId="30" applyAlignment="1" pivotButton="0" quotePrefix="0" xfId="1">
      <alignment horizontal="center" vertical="center"/>
    </xf>
    <xf numFmtId="164" fontId="50" fillId="0" borderId="35" applyAlignment="1" pivotButton="0" quotePrefix="0" xfId="1">
      <alignment horizontal="center" vertical="center"/>
    </xf>
    <xf numFmtId="164" fontId="50" fillId="0" borderId="30" applyAlignment="1" pivotButton="0" quotePrefix="0" xfId="0">
      <alignment horizontal="center" vertical="center"/>
    </xf>
    <xf numFmtId="164" fontId="50" fillId="0" borderId="29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30" pivotButton="0" quotePrefix="0" xfId="0"/>
    <xf numFmtId="0" fontId="0" fillId="0" borderId="29" pivotButton="0" quotePrefix="0" xfId="0"/>
    <xf numFmtId="164" fontId="50" fillId="0" borderId="97" applyAlignment="1" pivotButton="0" quotePrefix="0" xfId="0">
      <alignment horizontal="center" vertical="center"/>
    </xf>
    <xf numFmtId="164" fontId="64" fillId="25" borderId="30" applyAlignment="1" pivotButton="0" quotePrefix="0" xfId="1">
      <alignment horizontal="center" vertical="center"/>
    </xf>
    <xf numFmtId="164" fontId="50" fillId="0" borderId="25" applyAlignment="1" pivotButton="0" quotePrefix="0" xfId="0">
      <alignment horizontal="center" vertical="center"/>
    </xf>
    <xf numFmtId="164" fontId="50" fillId="0" borderId="24" applyAlignment="1" pivotButton="0" quotePrefix="0" xfId="0">
      <alignment horizontal="center" vertical="center"/>
    </xf>
    <xf numFmtId="164" fontId="64" fillId="25" borderId="25" applyAlignment="1" pivotButton="0" quotePrefix="0" xfId="1">
      <alignment horizontal="center" vertical="center"/>
    </xf>
    <xf numFmtId="164" fontId="64" fillId="25" borderId="35" applyAlignment="1" pivotButton="0" quotePrefix="0" xfId="1">
      <alignment horizontal="center" vertical="center"/>
    </xf>
    <xf numFmtId="0" fontId="0" fillId="0" borderId="90" pivotButton="0" quotePrefix="0" xfId="0"/>
    <xf numFmtId="0" fontId="0" fillId="0" borderId="91" pivotButton="0" quotePrefix="0" xfId="0"/>
    <xf numFmtId="164" fontId="50" fillId="7" borderId="41" applyAlignment="1" pivotButton="0" quotePrefix="0" xfId="1">
      <alignment horizontal="center" vertical="center"/>
    </xf>
    <xf numFmtId="164" fontId="50" fillId="7" borderId="0" applyAlignment="1" pivotButton="0" quotePrefix="0" xfId="1">
      <alignment horizontal="center" vertical="center"/>
    </xf>
    <xf numFmtId="0" fontId="64" fillId="25" borderId="95" applyAlignment="1" pivotButton="0" quotePrefix="0" xfId="0">
      <alignment horizontal="center" vertical="center" wrapText="1"/>
    </xf>
    <xf numFmtId="164" fontId="50" fillId="15" borderId="97" applyAlignment="1" pivotButton="0" quotePrefix="0" xfId="1">
      <alignment horizontal="center" vertical="center"/>
    </xf>
    <xf numFmtId="164" fontId="50" fillId="15" borderId="99" applyAlignment="1" pivotButton="0" quotePrefix="0" xfId="0">
      <alignment horizontal="center" vertical="center"/>
    </xf>
    <xf numFmtId="164" fontId="50" fillId="15" borderId="0" applyAlignment="1" pivotButton="0" quotePrefix="0" xfId="0">
      <alignment horizontal="center" vertical="center"/>
    </xf>
    <xf numFmtId="164" fontId="50" fillId="15" borderId="34" applyAlignment="1" pivotButton="0" quotePrefix="0" xfId="0">
      <alignment horizontal="center" vertical="center"/>
    </xf>
    <xf numFmtId="164" fontId="50" fillId="7" borderId="24" applyAlignment="1" pivotButton="0" quotePrefix="0" xfId="1">
      <alignment horizontal="center" vertical="center"/>
    </xf>
    <xf numFmtId="164" fontId="50" fillId="7" borderId="29" applyAlignment="1" pivotButton="0" quotePrefix="0" xfId="1">
      <alignment horizontal="center" vertical="center"/>
    </xf>
    <xf numFmtId="164" fontId="63" fillId="0" borderId="0" applyAlignment="1" pivotButton="0" quotePrefix="0" xfId="0">
      <alignment horizontal="center" vertical="center"/>
    </xf>
    <xf numFmtId="164" fontId="60" fillId="0" borderId="0" applyAlignment="1" pivotButton="0" quotePrefix="0" xfId="1">
      <alignment horizontal="center" vertical="center"/>
    </xf>
    <xf numFmtId="164" fontId="38" fillId="0" borderId="0" applyAlignment="1" pivotButton="0" quotePrefix="0" xfId="0">
      <alignment horizontal="center" vertical="center"/>
    </xf>
    <xf numFmtId="166" fontId="22" fillId="0" borderId="60" applyAlignment="1" pivotButton="0" quotePrefix="0" xfId="0">
      <alignment vertical="center"/>
    </xf>
    <xf numFmtId="166" fontId="21" fillId="11" borderId="9" applyAlignment="1" pivotButton="0" quotePrefix="0" xfId="0">
      <alignment vertical="center"/>
    </xf>
    <xf numFmtId="166" fontId="21" fillId="11" borderId="19" applyAlignment="1" pivotButton="0" quotePrefix="0" xfId="0">
      <alignment vertical="center"/>
    </xf>
    <xf numFmtId="166" fontId="22" fillId="0" borderId="64" applyAlignment="1" pivotButton="0" quotePrefix="0" xfId="0">
      <alignment vertical="center"/>
    </xf>
    <xf numFmtId="166" fontId="22" fillId="0" borderId="61" applyAlignment="1" pivotButton="0" quotePrefix="0" xfId="0">
      <alignment vertical="center"/>
    </xf>
    <xf numFmtId="166" fontId="21" fillId="11" borderId="20" applyAlignment="1" pivotButton="0" quotePrefix="0" xfId="0">
      <alignment vertical="center"/>
    </xf>
    <xf numFmtId="166" fontId="21" fillId="0" borderId="12" applyAlignment="1" pivotButton="0" quotePrefix="0" xfId="0">
      <alignment vertical="center"/>
    </xf>
    <xf numFmtId="166" fontId="22" fillId="11" borderId="16" applyAlignment="1" pivotButton="0" quotePrefix="0" xfId="0">
      <alignment vertical="center"/>
    </xf>
    <xf numFmtId="164" fontId="24" fillId="7" borderId="43" applyAlignment="1" pivotButton="0" quotePrefix="1" xfId="0">
      <alignment horizontal="center"/>
    </xf>
    <xf numFmtId="164" fontId="24" fillId="7" borderId="0" applyAlignment="1" pivotButton="0" quotePrefix="1" xfId="0">
      <alignment horizontal="center"/>
    </xf>
    <xf numFmtId="166" fontId="21" fillId="0" borderId="19" applyAlignment="1" pivotButton="0" quotePrefix="0" xfId="0">
      <alignment vertical="center"/>
    </xf>
    <xf numFmtId="166" fontId="22" fillId="0" borderId="9" applyAlignment="1" pivotButton="0" quotePrefix="0" xfId="0">
      <alignment horizontal="center" vertical="center"/>
    </xf>
    <xf numFmtId="165" fontId="0" fillId="0" borderId="0" applyProtection="1" pivotButton="0" quotePrefix="0" xfId="0">
      <protection locked="0" hidden="0"/>
    </xf>
    <xf numFmtId="167" fontId="21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164" fontId="24" fillId="0" borderId="0" applyAlignment="1" pivotButton="0" quotePrefix="0" xfId="1">
      <alignment horizontal="center" vertical="center"/>
    </xf>
    <xf numFmtId="164" fontId="0" fillId="0" borderId="35" applyAlignment="1" pivotButton="0" quotePrefix="0" xfId="1">
      <alignment horizontal="left" vertical="center"/>
    </xf>
    <xf numFmtId="164" fontId="0" fillId="7" borderId="35" applyAlignment="1" pivotButton="0" quotePrefix="0" xfId="1">
      <alignment horizontal="left" vertical="center"/>
    </xf>
    <xf numFmtId="164" fontId="0" fillId="0" borderId="97" applyAlignment="1" pivotButton="0" quotePrefix="0" xfId="1">
      <alignment horizontal="center" vertical="center"/>
    </xf>
    <xf numFmtId="164" fontId="0" fillId="0" borderId="97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7" borderId="34" applyAlignment="1" pivotButton="0" quotePrefix="0" xfId="1">
      <alignment horizontal="left" vertical="center"/>
    </xf>
    <xf numFmtId="164" fontId="0" fillId="0" borderId="34" applyAlignment="1" pivotButton="0" quotePrefix="0" xfId="0">
      <alignment horizontal="center" vertical="center"/>
    </xf>
    <xf numFmtId="164" fontId="0" fillId="0" borderId="30" applyAlignment="1" pivotButton="0" quotePrefix="0" xfId="1">
      <alignment horizontal="left" vertical="center"/>
    </xf>
    <xf numFmtId="164" fontId="0" fillId="7" borderId="30" applyAlignment="1" pivotButton="0" quotePrefix="0" xfId="1">
      <alignment horizontal="left" vertical="center"/>
    </xf>
    <xf numFmtId="164" fontId="0" fillId="7" borderId="29" applyAlignment="1" pivotButton="0" quotePrefix="0" xfId="1">
      <alignment horizontal="left" vertical="center"/>
    </xf>
    <xf numFmtId="164" fontId="0" fillId="0" borderId="25" applyAlignment="1" pivotButton="0" quotePrefix="0" xfId="1">
      <alignment horizontal="left" vertical="center"/>
    </xf>
    <xf numFmtId="164" fontId="0" fillId="7" borderId="25" applyAlignment="1" pivotButton="0" quotePrefix="0" xfId="1">
      <alignment horizontal="left" vertical="center"/>
    </xf>
    <xf numFmtId="164" fontId="0" fillId="7" borderId="24" applyAlignment="1" pivotButton="0" quotePrefix="0" xfId="1">
      <alignment horizontal="left" vertical="center"/>
    </xf>
    <xf numFmtId="164" fontId="0" fillId="0" borderId="41" applyAlignment="1" pivotButton="0" quotePrefix="0" xfId="0">
      <alignment horizontal="center" vertical="center"/>
    </xf>
    <xf numFmtId="164" fontId="0" fillId="0" borderId="25" applyAlignment="1" pivotButton="0" quotePrefix="0" xfId="0">
      <alignment horizontal="center" vertical="center"/>
    </xf>
    <xf numFmtId="164" fontId="0" fillId="0" borderId="24" applyAlignment="1" pivotButton="0" quotePrefix="0" xfId="0">
      <alignment horizontal="center" vertical="center"/>
    </xf>
    <xf numFmtId="164" fontId="0" fillId="19" borderId="30" applyAlignment="1" pivotButton="0" quotePrefix="0" xfId="1">
      <alignment horizontal="left" vertical="center"/>
    </xf>
    <xf numFmtId="0" fontId="0" fillId="0" borderId="58" pivotButton="0" quotePrefix="0" xfId="0"/>
    <xf numFmtId="164" fontId="0" fillId="19" borderId="25" applyAlignment="1" pivotButton="0" quotePrefix="0" xfId="1">
      <alignment horizontal="left" vertical="center"/>
    </xf>
    <xf numFmtId="164" fontId="0" fillId="0" borderId="35" applyAlignment="1" pivotButton="0" quotePrefix="0" xfId="1">
      <alignment horizontal="center" vertical="center"/>
    </xf>
    <xf numFmtId="164" fontId="0" fillId="0" borderId="30" applyAlignment="1" pivotButton="0" quotePrefix="0" xfId="0">
      <alignment horizontal="center" vertical="center"/>
    </xf>
    <xf numFmtId="164" fontId="0" fillId="0" borderId="29" applyAlignment="1" pivotButton="0" quotePrefix="0" xfId="0">
      <alignment horizontal="center" vertical="center"/>
    </xf>
    <xf numFmtId="0" fontId="26" fillId="19" borderId="42" applyAlignment="1" pivotButton="0" quotePrefix="0" xfId="0">
      <alignment horizontal="center" vertical="center" wrapText="1"/>
    </xf>
    <xf numFmtId="164" fontId="0" fillId="0" borderId="25" applyAlignment="1" pivotButton="0" quotePrefix="0" xfId="1">
      <alignment horizontal="center" vertical="center"/>
    </xf>
    <xf numFmtId="0" fontId="0" fillId="0" borderId="44" pivotButton="0" quotePrefix="0" xfId="0"/>
    <xf numFmtId="164" fontId="0" fillId="19" borderId="35" applyAlignment="1" pivotButton="0" quotePrefix="0" xfId="1">
      <alignment horizontal="left" vertical="center"/>
    </xf>
    <xf numFmtId="164" fontId="0" fillId="15" borderId="30" applyAlignment="1" pivotButton="0" quotePrefix="0" xfId="1">
      <alignment horizontal="left" vertical="center"/>
    </xf>
    <xf numFmtId="164" fontId="0" fillId="15" borderId="97" applyAlignment="1" pivotButton="0" quotePrefix="0" xfId="1">
      <alignment horizontal="center" vertical="center"/>
    </xf>
    <xf numFmtId="164" fontId="0" fillId="15" borderId="25" applyAlignment="1" pivotButton="0" quotePrefix="0" xfId="0">
      <alignment horizontal="center" vertical="center"/>
    </xf>
    <xf numFmtId="164" fontId="0" fillId="15" borderId="0" applyAlignment="1" pivotButton="0" quotePrefix="0" xfId="0">
      <alignment horizontal="center" vertical="center"/>
    </xf>
    <xf numFmtId="164" fontId="0" fillId="15" borderId="24" applyAlignment="1" pivotButton="0" quotePrefix="0" xfId="0">
      <alignment horizontal="center" vertical="center"/>
    </xf>
    <xf numFmtId="164" fontId="0" fillId="15" borderId="25" applyAlignment="1" pivotButton="0" quotePrefix="0" xfId="1">
      <alignment horizontal="left" vertical="center"/>
    </xf>
    <xf numFmtId="165" fontId="0" fillId="0" borderId="0" pivotButton="0" quotePrefix="0" xfId="0"/>
    <xf numFmtId="164" fontId="23" fillId="0" borderId="0" pivotButton="0" quotePrefix="0" xfId="0"/>
    <xf numFmtId="164" fontId="28" fillId="7" borderId="0" applyAlignment="1" pivotButton="0" quotePrefix="0" xfId="1">
      <alignment horizontal="center" vertical="center"/>
    </xf>
    <xf numFmtId="164" fontId="28" fillId="19" borderId="0" applyAlignment="1" pivotButton="0" quotePrefix="0" xfId="1">
      <alignment horizontal="center" vertical="center"/>
    </xf>
    <xf numFmtId="164" fontId="28" fillId="0" borderId="0" applyAlignment="1" pivotButton="0" quotePrefix="0" xfId="1">
      <alignment vertical="center"/>
    </xf>
    <xf numFmtId="164" fontId="28" fillId="0" borderId="0" applyAlignment="1" pivotButton="0" quotePrefix="0" xfId="1">
      <alignment horizontal="center" vertical="center"/>
    </xf>
  </cellXfs>
  <cellStyles count="8">
    <cellStyle name="Normal" xfId="0" builtinId="0"/>
    <cellStyle name="Moneda" xfId="1" builtinId="4"/>
    <cellStyle name="Moneda 2" xfId="2"/>
    <cellStyle name="Normal 2" xfId="3"/>
    <cellStyle name="Normal 3" xfId="4"/>
    <cellStyle name="Porcentaje" xfId="5" builtinId="5"/>
    <cellStyle name="Normal 4" xfId="6"/>
    <cellStyle name="Moneda 3" xfId="7"/>
  </cellStyles>
  <dxfs count="18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numFmt numFmtId="164" formatCode="_-&quot;$&quot;* #,##0.00_-;\-&quot;$&quot;* #,##0.00_-;_-&quot;$&quot;* &quot;-&quot;_-;_-@_-"/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numFmt numFmtId="164" formatCode="_-&quot;$&quot;* #,##0.00_-;\-&quot;$&quot;* #,##0.00_-;_-&quot;$&quot;* &quot;-&quot;_-;_-@_-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numFmt numFmtId="1" formatCode="0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w Cen MT"/>
        <family val="2"/>
        <strike val="0"/>
        <outline val="0"/>
        <shadow val="0"/>
        <vertAlign val="baseline"/>
      </font>
      <fill>
        <patternFill>
          <fgColor indexed="64"/>
          <bgColor auto="1"/>
        </patternFill>
      </fill>
      <alignment horizontal="center"/>
    </dxf>
    <dxf>
      <font>
        <name val="Tw Cen MT"/>
        <family val="2"/>
        <b val="1"/>
        <strike val="0"/>
        <outline val="0"/>
        <shadow val="0"/>
        <condense val="0"/>
        <color rgb="FF002060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numFmt numFmtId="164" formatCode="_-&quot;$&quot;* #,##0.00_-;\-&quot;$&quot;* #,##0.00_-;_-&quot;$&quot;* &quot;-&quot;_-;_-@_-"/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b val="1"/>
        <strike val="0"/>
        <outline val="0"/>
        <shadow val="0"/>
        <condense val="0"/>
        <color rgb="FF002060"/>
        <extend val="0"/>
        <sz val="9"/>
        <vertAlign val="baseline"/>
      </font>
      <numFmt numFmtId="164" formatCode="_-&quot;$&quot;* #,##0.00_-;\-&quot;$&quot;* #,##0.00_-;_-&quot;$&quot;* &quot;-&quot;_-;_-@_-"/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numFmt numFmtId="164" formatCode="_-&quot;$&quot;* #,##0.00_-;\-&quot;$&quot;* #,##0.00_-;_-&quot;$&quot;* &quot;-&quot;_-;_-@_-"/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numFmt numFmtId="164" formatCode="_-&quot;$&quot;* #,##0.00_-;\-&quot;$&quot;* #,##0.00_-;_-&quot;$&quot;* &quot;-&quot;_-;_-@_-"/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numFmt numFmtId="164" formatCode="_-&quot;$&quot;* #,##0.00_-;\-&quot;$&quot;* #,##0.00_-;_-&quot;$&quot;* &quot;-&quot;_-;_-@_-"/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numFmt numFmtId="164" formatCode="_-&quot;$&quot;* #,##0.00_-;\-&quot;$&quot;* #,##0.00_-;_-&quot;$&quot;* &quot;-&quot;_-;_-@_-"/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numFmt numFmtId="164" formatCode="_-&quot;$&quot;* #,##0.00_-;\-&quot;$&quot;* #,##0.00_-;_-&quot;$&quot;* &quot;-&quot;_-;_-@_-"/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numFmt numFmtId="1" formatCode="0"/>
      <fill>
        <patternFill>
          <fgColor indexed="64"/>
          <bgColor auto="1"/>
        </patternFill>
      </fill>
      <alignment horizontal="center" vertical="center"/>
    </dxf>
    <dxf>
      <border outline="0">
        <top style="medium">
          <color theme="3"/>
        </top>
      </border>
    </dxf>
    <dxf>
      <font>
        <name val="Tw Cen MT"/>
        <family val="2"/>
        <strike val="0"/>
        <outline val="0"/>
        <shadow val="0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vertAlign val="baseline"/>
      </font>
      <fill>
        <patternFill>
          <bgColor auto="1"/>
        </patternFill>
      </fill>
      <alignment horizontal="center" vertical="center"/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4" formatCode="_-&quot;$&quot;* #,##0.00_-;\-&quot;$&quot;* #,##0.00_-;_-&quot;$&quot;* &quot;-&quot;??_-;_-@_-"/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" formatCode="0"/>
      <alignment horizontal="center" vertical="bottom"/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alignment horizontal="center" vertical="bottom"/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badi Extra Light"/>
        <family val="2"/>
        <b val="1"/>
        <strike val="0"/>
        <outline val="0"/>
        <shadow val="0"/>
        <condense val="0"/>
        <color rgb="FF002060"/>
        <extend val="0"/>
        <sz val="12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lor auto="1"/>
        <sz val="10"/>
        <vertAlign val="baseline"/>
      </font>
      <fill>
        <patternFill patternType="solid">
          <fgColor indexed="64"/>
          <bgColor rgb="FFF3F3F3"/>
        </patternFill>
      </fill>
      <alignment horizontal="general" vertical="center"/>
      <protection locked="0" hidden="0"/>
    </dxf>
    <dxf>
      <font>
        <name val="Segoe UI"/>
        <family val="2"/>
        <strike val="0"/>
        <outline val="0"/>
        <shadow val="0"/>
        <color rgb="FF201F1E"/>
        <sz val="9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34" formatCode="_-&quot;$&quot;* #,##0.00_-;\-&quot;$&quot;* #,##0.00_-;_-&quot;$&quot;* &quot;-&quot;??_-;_-@_-"/>
      <fill>
        <patternFill>
          <fgColor indexed="64"/>
          <bgColor auto="1"/>
        </patternFill>
      </fill>
      <alignment horizontal="left" vertical="center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34" formatCode="_-&quot;$&quot;* #,##0.00_-;\-&quot;$&quot;* #,##0.00_-;_-&quot;$&quot;* &quot;-&quot;??_-;_-@_-"/>
      <fill>
        <patternFill>
          <fgColor indexed="64"/>
          <bgColor auto="1"/>
        </patternFill>
      </fill>
      <alignment horizontal="left" vertical="center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indexed="65"/>
        </patternFill>
      </fill>
      <alignment horizontal="right" vertical="center"/>
      <protection locked="0" hidden="0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/>
      <border outline="0">
        <left/>
        <right/>
        <top/>
        <bottom/>
      </border>
      <protection locked="0" hidden="0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lor auto="1"/>
        <sz val="10"/>
        <vertAlign val="baseline"/>
      </font>
      <fill>
        <patternFill patternType="solid">
          <fgColor indexed="64"/>
          <bgColor rgb="FFF3F3F3"/>
        </patternFill>
      </fill>
      <alignment horizontal="right" vertical="center"/>
      <protection locked="0" hidden="0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>
          <fgColor indexed="64"/>
          <bgColor auto="1"/>
        </patternFill>
      </fill>
      <alignment horizontal="left" vertical="center"/>
    </dxf>
    <dxf>
      <font>
        <name val="Tw Cen MT"/>
        <family val="2"/>
        <strike val="0"/>
        <outline val="0"/>
        <shadow val="0"/>
        <color auto="1"/>
        <sz val="10"/>
        <vertAlign val="baseline"/>
      </font>
      <fill>
        <patternFill patternType="solid">
          <fgColor indexed="64"/>
          <bgColor rgb="FFF3F3F3"/>
        </patternFill>
      </fill>
      <alignment horizontal="general" vertical="center"/>
      <protection locked="0" hidden="0"/>
    </dxf>
    <dxf>
      <font>
        <name val="Tw Cen MT"/>
        <family val="2"/>
        <strike val="0"/>
        <outline val="0"/>
        <shadow val="0"/>
        <color auto="1"/>
        <sz val="11"/>
        <vertAlign val="baseline"/>
      </font>
      <numFmt numFmtId="1" formatCode="0"/>
      <fill>
        <patternFill>
          <fgColor indexed="64"/>
          <bgColor auto="1"/>
        </patternFill>
      </fill>
      <alignment horizontal="left" vertical="center"/>
    </dxf>
    <dxf>
      <font>
        <name val="Tw Cen MT"/>
        <family val="2"/>
        <strike val="0"/>
        <outline val="0"/>
        <shadow val="0"/>
        <color auto="1"/>
        <sz val="10"/>
        <vertAlign val="baseline"/>
      </font>
      <fill>
        <patternFill>
          <fgColor indexed="64"/>
          <bgColor auto="1"/>
        </patternFill>
      </fill>
      <alignment horizontal="general" vertical="center"/>
      <protection locked="0" hidden="0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 wrapText="1"/>
    </dxf>
    <dxf>
      <font>
        <name val="Tw Cen MT"/>
        <family val="2"/>
        <strike val="0"/>
        <outline val="0"/>
        <shadow val="0"/>
        <color auto="1"/>
        <sz val="11"/>
        <vertAlign val="baseline"/>
      </font>
      <fill>
        <patternFill>
          <fgColor indexed="64"/>
          <bgColor auto="1"/>
        </patternFill>
      </fill>
      <alignment horizontal="center" vertical="center" wrapText="1"/>
    </dxf>
    <dxf>
      <font>
        <name val="Tw Cen MT"/>
        <family val="2"/>
        <strike val="0"/>
        <outline val="0"/>
        <shadow val="0"/>
        <color rgb="FF1218DC"/>
        <sz val="10"/>
        <u val="single"/>
        <vertAlign val="baseline"/>
      </font>
      <numFmt numFmtId="1" formatCode="0"/>
      <fill>
        <patternFill>
          <fgColor indexed="64"/>
          <bgColor auto="1"/>
        </patternFill>
      </fill>
      <alignment horizontal="general" vertical="center"/>
      <border outline="0">
        <left/>
        <right/>
        <top style="thin">
          <color rgb="FFA61C00"/>
        </top>
        <bottom style="thin">
          <color rgb="FFA61C00"/>
        </bottom>
      </border>
      <protection locked="0" hidden="0"/>
    </dxf>
    <dxf>
      <font>
        <name val="Tw Cen MT"/>
        <family val="2"/>
        <strike val="0"/>
        <outline val="0"/>
        <shadow val="0"/>
        <color auto="1"/>
        <sz val="10"/>
        <vertAlign val="baseline"/>
      </font>
      <numFmt numFmtId="19" formatCode="dd/mm/yyyy"/>
      <fill>
        <patternFill>
          <fgColor indexed="64"/>
          <bgColor auto="1"/>
        </patternFill>
      </fill>
      <alignment horizontal="general" vertical="center"/>
      <protection locked="0" hidden="0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lor auto="1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lor auto="1"/>
        <sz val="10"/>
        <vertAlign val="baseline"/>
      </font>
      <numFmt numFmtId="19" formatCode="dd/mm/yyyy"/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name val="Tw Cen MT"/>
        <family val="2"/>
        <strike val="0"/>
        <outline val="0"/>
        <shadow val="0"/>
        <color auto="1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b val="1"/>
        <strike val="0"/>
        <outline val="0"/>
        <shadow val="0"/>
        <condense val="0"/>
        <color rgb="FF00206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horizontal="center"/>
    </dxf>
    <dxf>
      <alignment horizontal="center"/>
    </dxf>
    <dxf>
      <font>
        <color theme="1"/>
      </font>
    </dxf>
    <dxf>
      <font>
        <color theme="1"/>
      </font>
    </dxf>
    <dxf>
      <alignment horizontal="center"/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Tw Cen MT"/>
        <family val="2"/>
      </font>
    </dxf>
    <dxf>
      <font>
        <name val="Tw Cen MT"/>
        <family val="2"/>
      </font>
    </dxf>
    <dxf>
      <font>
        <name val="Tw Cen MT"/>
        <family val="2"/>
      </font>
    </dxf>
    <dxf>
      <font>
        <name val="Tw Cen MT"/>
        <family val="2"/>
      </font>
    </dxf>
    <dxf>
      <font>
        <name val="Tw Cen MT"/>
        <family val="2"/>
      </font>
    </dxf>
    <dxf>
      <font>
        <name val="Tw Cen MT"/>
        <family val="2"/>
      </font>
    </dxf>
    <dxf>
      <font>
        <name val="Tw Cen MT"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Tw Cen MT"/>
      </font>
    </dxf>
    <dxf>
      <font>
        <name val="Tw Cen MT"/>
      </font>
    </dxf>
    <dxf>
      <font>
        <name val="Tw Cen MT"/>
      </font>
    </dxf>
    <dxf>
      <font>
        <name val="Tw Cen MT"/>
      </font>
    </dxf>
    <dxf>
      <font>
        <name val="Tw Cen MT"/>
      </font>
    </dxf>
    <dxf>
      <font>
        <name val="Tw Cen MT"/>
      </font>
    </dxf>
    <dxf>
      <font>
        <name val="Tw Cen MT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name val="Tw Cen MT"/>
      </font>
    </dxf>
    <dxf>
      <font>
        <name val="Tw Cen MT"/>
      </font>
    </dxf>
    <dxf>
      <font>
        <name val="Tw Cen MT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Tw Cen MT"/>
        <family val="2"/>
      </font>
    </dxf>
    <dxf>
      <font>
        <name val="Tw Cen MT"/>
        <family val="2"/>
      </font>
    </dxf>
    <dxf>
      <font>
        <name val="Tw Cen MT"/>
        <family val="2"/>
      </font>
    </dxf>
    <dxf>
      <font>
        <name val="Tw Cen MT"/>
        <family val="2"/>
      </font>
    </dxf>
    <dxf>
      <font>
        <name val="Tw Cen MT"/>
        <family val="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entury Gothic"/>
      </font>
      <fill>
        <patternFill patternType="solid">
          <fgColor indexed="64"/>
          <bgColor rgb="FF92D050"/>
        </patternFill>
      </fill>
      <alignment horizontal="center"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Century Gothic"/>
      </font>
    </dxf>
    <dxf>
      <font>
        <name val="Century Gothic"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name val="Tw Cen MT"/>
      </font>
    </dxf>
    <dxf>
      <font>
        <name val="Tw Cen MT"/>
      </font>
    </dxf>
    <dxf>
      <font>
        <name val="Tw Cen MT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pivotCacheDefinition" Target="/xl/pivotCache/pivotCacheDefinition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Becario Marketing" refreshedDate="46171.35077905092" createdVersion="8" refreshedVersion="8" minRefreshableVersion="3" recordCount="31" r:id="rId1">
  <cacheSource type="worksheet">
    <worksheetSource name="Tabla4"/>
  </cacheSource>
  <cacheFields count="19">
    <cacheField name="Fecha" uniqueList="1" numFmtId="0" sqlType="0" hierarchy="0" level="0" databaseField="1">
      <sharedItems count="0"/>
    </cacheField>
    <cacheField name="Mercado Libre" uniqueList="1" numFmtId="0" sqlType="0" hierarchy="0" level="0" databaseField="1">
      <sharedItems count="0"/>
    </cacheField>
    <cacheField name="Columna1" uniqueList="1" numFmtId="0" sqlType="0" hierarchy="0" level="0" databaseField="1">
      <sharedItems count="0" containsBlank="1" containsNonDate="0" containsString="0"/>
    </cacheField>
    <cacheField name="Fecha de compra" uniqueList="1" numFmtId="0" sqlType="0" hierarchy="0" level="0" databaseField="1">
      <sharedItems count="0"/>
    </cacheField>
    <cacheField name="N° venta" uniqueList="1" numFmtId="0" sqlType="0" hierarchy="0" level="0" databaseField="1">
      <sharedItems count="0"/>
    </cacheField>
    <cacheField name=" Orden" uniqueList="1" numFmtId="0" sqlType="0" hierarchy="0" level="0" databaseField="1">
      <sharedItems count="0" containsBlank="1" containsNonDate="0" containsString="0"/>
    </cacheField>
    <cacheField name="Cliente" uniqueList="1" numFmtId="0" sqlType="0" hierarchy="0" level="0" databaseField="1">
      <sharedItems count="0"/>
    </cacheField>
    <cacheField name="Dynamics" uniqueList="1" numFmtId="1" sqlType="0" hierarchy="0" level="0" databaseField="1">
      <sharedItems count="0" containsInteger="1" containsMixedTypes="1" containsNumber="1" minValue="503635000300" maxValue="503635009800"/>
    </cacheField>
    <cacheField name="Título de la publicación" uniqueList="1" numFmtId="0" sqlType="0" hierarchy="0" level="0" databaseField="1">
      <sharedItems count="0"/>
    </cacheField>
    <cacheField name="Producto" uniqueList="1" numFmtId="0" sqlType="0" hierarchy="0" level="0" databaseField="1">
      <sharedItems count="15" containsInteger="1" containsMixedTypes="1" containsNumber="1" minValue="0" maxValue="0">
        <s v="ISOFLAVONAS 90 TAB "/>
        <s v="OMEGA 3 120 GOMAS"/>
        <s v="COLÁGENO+BIOTINA 120 GOMAS"/>
        <s v="COLAGENO TIPO II 30 CAPS"/>
        <s v="COLAGENO TIPO II 90 CAPS"/>
        <s v="PROBIÓTICOS + FIBRA 120 GOMAS"/>
        <s v="JUSTFX 120 CAPS"/>
        <s v="JUSTFX 90 CAPS"/>
        <s v="JUSTCOLLAGEN 180 TABS"/>
        <s v="JUSTCOLLAGEN 90 TABS"/>
        <s v="GLUCOSAMINA / CONDROITINA BOVINO 410 TAB"/>
        <s v="BIOTINA 120 GOMAS"/>
        <s v="GLUCOSAMINA / CONDROITINA TIBURON 240 TA"/>
        <s v="JUSTCOLLAGEN 111 GOMAS"/>
        <n v="0" u="1"/>
      </sharedItems>
    </cacheField>
    <cacheField name="Cantidad" uniqueList="1" numFmtId="0" sqlType="0" hierarchy="0" level="0" databaseField="1">
      <sharedItems count="0" containsInteger="1" containsNumber="1" containsSemiMixedTypes="0" containsString="0" minValue="1" maxValue="4"/>
    </cacheField>
    <cacheField name="Costo exc" uniqueList="1" numFmtId="0" sqlType="0" hierarchy="0" level="0" databaseField="1">
      <sharedItems count="0" containsBlank="1" containsNonDate="0" containsString="0"/>
    </cacheField>
    <cacheField name="Costo " uniqueList="1" numFmtId="0" sqlType="0" hierarchy="0" level="0" databaseField="1">
      <sharedItems count="0" containsNumber="1" containsSemiMixedTypes="0" containsString="0" minValue="241.38" maxValue="775.86"/>
    </cacheField>
    <cacheField name="Subtotal" uniqueList="1" numFmtId="44" sqlType="0" hierarchy="0" level="0" databaseField="1">
      <sharedItems count="0" containsNumber="1" containsSemiMixedTypes="0" containsString="0" minValue="241.38" maxValue="1551.72"/>
    </cacheField>
    <cacheField name="Envío" uniqueList="1" numFmtId="44" sqlType="0" hierarchy="0" level="0" databaseField="1">
      <sharedItems count="0" containsBlank="1" containsNonDate="0" containsString="0"/>
    </cacheField>
    <cacheField name="Total" uniqueList="1" numFmtId="44" sqlType="0" hierarchy="0" level="0" databaseField="1">
      <sharedItems count="0" containsNumber="1" containsSemiMixedTypes="0" containsString="0" minValue="241.38" maxValue="1551.72"/>
    </cacheField>
    <cacheField name="Orden de venta" uniqueList="1" numFmtId="0" sqlType="0" hierarchy="0" level="0" databaseField="1">
      <sharedItems count="0" containsBlank="1" containsNonDate="0" containsString="0"/>
    </cacheField>
    <cacheField name="Guía" uniqueList="1" numFmtId="0" sqlType="0" hierarchy="0" level="0" databaseField="1">
      <sharedItems count="0"/>
    </cacheField>
    <cacheField name="DESCUENTO" uniqueList="1" numFmtId="9" sqlType="0" hierarchy="0" level="0" databaseField="1">
      <sharedItems count="0" containsBlank="1" containsNonDate="0" containsString="0"/>
    </cacheField>
  </cacheFields>
</pivotCacheDefinition>
</file>

<file path=xl/pivotCache/pivotCacheRecords1.xml><?xml version="1.0" encoding="utf-8"?>
<pivotCacheRecords xmlns="http://schemas.openxmlformats.org/spreadsheetml/2006/main" count="31">
  <r>
    <s v="28 de mayo de 2026 23:30 hs."/>
    <s v="Mercado Libre"/>
    <m/>
    <s v="28 de mayo de 2026 23:30 hs."/>
    <s v="2000013227330657"/>
    <m/>
    <s v="Arturo Castellanos"/>
    <s v="503635001020"/>
    <s v="Isoflavonas Olnatura Just 90 Tabletas"/>
    <x v="0"/>
    <n v="1"/>
    <m/>
    <n v="515.51"/>
    <n v="515.51"/>
    <m/>
    <n v="515.51"/>
    <m/>
    <s v="MEL47173044627FMXDF01"/>
    <m/>
  </r>
  <r>
    <s v="28 de mayo de 2026 20:27 hs."/>
    <s v="Mercado Libre"/>
    <m/>
    <s v="28 de mayo de 2026 20:27 hs."/>
    <s v="2000013225451755"/>
    <m/>
    <s v="Raquel Gleason"/>
    <s v="503635004300"/>
    <s v="Just Omega 3 120 Gomitas Olnatura Mandarina"/>
    <x v="1"/>
    <n v="1"/>
    <m/>
    <n v="267.24"/>
    <n v="267.24"/>
    <m/>
    <n v="267.24"/>
    <m/>
    <s v="MEL47172330443FMXDF01"/>
    <m/>
  </r>
  <r>
    <s v="28 de mayo de 2026 19:11 hs."/>
    <s v="Mercado Libre"/>
    <m/>
    <s v="28 de mayo de 2026 19:11 hs."/>
    <s v="2000013224315483"/>
    <m/>
    <s v="María Guadalupe Esther Crispín"/>
    <s v="503635004500"/>
    <s v="Olnatura Just Colágeno Hidrolizado + Biotina 120 Gomitas Frutos Rojos"/>
    <x v="2"/>
    <n v="1"/>
    <m/>
    <n v="258.62"/>
    <n v="258.62"/>
    <m/>
    <n v="258.62"/>
    <m/>
    <s v="MEL47172134426FMXDF01"/>
    <m/>
  </r>
  <r>
    <s v="28 de mayo de 2026 18:51 hs."/>
    <s v="Mercado Libre"/>
    <m/>
    <s v="28 de mayo de 2026 18:51 hs."/>
    <s v="2000013223965573"/>
    <m/>
    <s v="Esteban Lazo"/>
    <n v="503635009800"/>
    <s v="Colágeno Tipo 2 Premium. Sin Desnaturalizar 30 Cápsulas Olnatura Just Natural"/>
    <x v="3"/>
    <n v="2"/>
    <m/>
    <n v="405.17"/>
    <n v="810.34"/>
    <m/>
    <n v="810.34"/>
    <m/>
    <s v="MEL47171711373FMXDF01"/>
    <m/>
  </r>
  <r>
    <s v="28 de mayo de 2026 18:49 hs."/>
    <s v="Mercado Libre"/>
    <m/>
    <s v="28 de mayo de 2026 18:49 hs."/>
    <s v="2000013223948613"/>
    <m/>
    <s v="Oliva Perez"/>
    <n v="503635001010"/>
    <s v="Colágeno Tipo 2 Premium. Sin Desnaturalizar 90 Cápsulas Olnatura Just Natural"/>
    <x v="4"/>
    <n v="1"/>
    <m/>
    <n v="775.86"/>
    <n v="775.86"/>
    <m/>
    <n v="775.86"/>
    <m/>
    <s v="MEL47171706021FMXDF01"/>
    <m/>
  </r>
  <r>
    <s v="28 de mayo de 2026 18:40 hs."/>
    <s v="Mercado Libre"/>
    <m/>
    <s v="28 de mayo de 2026 18:40 hs."/>
    <s v="2000013223768681"/>
    <m/>
    <s v="Melissa Patricia Zavala"/>
    <s v="503635004400"/>
    <s v="Gomitas Probióticos Con Fibra Arándano Olnatura Just 120 Unid"/>
    <x v="5"/>
    <n v="1"/>
    <m/>
    <n v="258.62"/>
    <n v="258.62"/>
    <m/>
    <n v="258.62"/>
    <m/>
    <s v="MEL47171913796FMXDF01"/>
    <m/>
  </r>
  <r>
    <s v="28 de mayo de 2026 18:33 hs."/>
    <s v="Mercado Libre"/>
    <m/>
    <s v="28 de mayo de 2026 18:33 hs."/>
    <s v="2000013220609499"/>
    <m/>
    <s v="Sergio Sanchez"/>
    <s v="503635000705"/>
    <s v="Olnatura Just Justfx Suplemento Glucosamina Condroitina Colágeno 120 Cápsulas Sin Sabor"/>
    <x v="6"/>
    <n v="3"/>
    <m/>
    <n v="431.03"/>
    <n v="1293.09"/>
    <m/>
    <n v="1293.09"/>
    <m/>
    <s v="MEL47171581699FMXDF01"/>
    <m/>
  </r>
  <r>
    <s v="28 de mayo de 2026 17:56 hs."/>
    <s v="Mercado Libre"/>
    <m/>
    <s v="28 de mayo de 2026 17:56 hs."/>
    <s v="2000013223002303"/>
    <m/>
    <s v="Paulina Barron Guerrero"/>
    <n v="503635000900"/>
    <s v="Olnatura Justfx 90 Cápsulas De Glucosamina N/a"/>
    <x v="7"/>
    <n v="1"/>
    <m/>
    <n v="370.69"/>
    <n v="370.69"/>
    <m/>
    <n v="370.69"/>
    <m/>
    <s v="MEL47171313711FMXDF01"/>
    <m/>
  </r>
  <r>
    <s v="28 de mayo de 2026 17:26 hs."/>
    <s v="Mercado Libre"/>
    <m/>
    <s v="28 de mayo de 2026 17:26 hs."/>
    <s v="2000013222523621"/>
    <m/>
    <s v="Cecilia Rincon"/>
    <n v="503635001010"/>
    <s v="Colágeno Tipo 2 Premium. Sin Desnaturalizar 90 Cápsulas  Natural"/>
    <x v="4"/>
    <n v="1"/>
    <m/>
    <n v="775.86"/>
    <n v="775.86"/>
    <m/>
    <n v="775.86"/>
    <m/>
    <s v="MEL47171370396FMXDF01"/>
    <m/>
  </r>
  <r>
    <s v="28 de mayo de 2026 17:04 hs."/>
    <s v="Mercado Libre"/>
    <m/>
    <s v="28 de mayo de 2026 17:04 hs."/>
    <s v="2000013222120117"/>
    <m/>
    <s v="Amparo Valdez"/>
    <s v="503635002600"/>
    <s v="Just Collagen 180 Tabletas"/>
    <x v="8"/>
    <n v="2"/>
    <m/>
    <n v="297.41"/>
    <n v="594.8200000000001"/>
    <m/>
    <n v="594.8200000000001"/>
    <m/>
    <s v="MEL47170933259FMXDF01"/>
    <m/>
  </r>
  <r>
    <s v="28 de mayo de 2026 16:32 hs."/>
    <s v="Mercado Libre"/>
    <m/>
    <s v="28 de mayo de 2026 16:32 hs."/>
    <s v="2000013221578383"/>
    <m/>
    <s v="Alma Jenny Zubiate"/>
    <s v="503635000705"/>
    <s v="Olnatura Just Fx Glucosamina 120 Cápsulas Nutricional N/a"/>
    <x v="6"/>
    <n v="2"/>
    <m/>
    <n v="431.03"/>
    <n v="862.0599999999999"/>
    <m/>
    <n v="862.0599999999999"/>
    <m/>
    <s v="MEL47170705361FMXDF01"/>
    <m/>
  </r>
  <r>
    <s v="28 de mayo de 2026 16:02 hs."/>
    <s v="Mercado Libre"/>
    <m/>
    <s v="28 de mayo de 2026 16:02 hs."/>
    <s v="2000013221130021"/>
    <m/>
    <s v="Leslie Abigail Borbon"/>
    <n v="503635000501"/>
    <s v="Colágeno Hidrolizado Premium Justcollagen 90 Tabletas "/>
    <x v="9"/>
    <n v="1"/>
    <m/>
    <n v="241.38"/>
    <n v="241.38"/>
    <m/>
    <n v="241.38"/>
    <m/>
    <s v="MEL47170499999FMXDF01"/>
    <m/>
  </r>
  <r>
    <s v="28 de mayo de 2026 15:20 hs."/>
    <s v="Mercado Libre"/>
    <m/>
    <s v="28 de mayo de 2026 15:20 hs."/>
    <s v="2000016657172978"/>
    <m/>
    <s v="Silvia Judith Reyes"/>
    <s v="503635002600"/>
    <s v="Just Collagen 180 Tabletas"/>
    <x v="8"/>
    <n v="1"/>
    <m/>
    <n v="297.41"/>
    <n v="297.41"/>
    <m/>
    <n v="297.41"/>
    <m/>
    <s v="MEL47170217079FMXDF01"/>
    <m/>
  </r>
  <r>
    <s v="28 de mayo de 2026 15:00 hs."/>
    <s v="Mercado Libre"/>
    <m/>
    <s v="28 de mayo de 2026 15:00 hs."/>
    <s v="2000013220187561"/>
    <m/>
    <s v="Ivonne Bautista"/>
    <s v="503635000705"/>
    <s v="Olnatura Just Justfx Suplemento Glucosamina Condroitina Colágeno 120 Cápsulas Sin Sabor"/>
    <x v="6"/>
    <n v="1"/>
    <m/>
    <n v="431.03"/>
    <n v="431.03"/>
    <m/>
    <n v="431.03"/>
    <m/>
    <s v="MEL47170080063FMXDF01"/>
    <m/>
  </r>
  <r>
    <s v="28 de mayo de 2026 14:45 hs."/>
    <s v="Mercado Libre"/>
    <m/>
    <s v="28 de mayo de 2026 14:45 hs."/>
    <s v="2000016656655078"/>
    <m/>
    <s v="Juan Angel Flores Santiago"/>
    <s v="503635002600"/>
    <s v="Just Collagen 180 Tabletas"/>
    <x v="8"/>
    <n v="1"/>
    <m/>
    <n v="297.41"/>
    <n v="297.41"/>
    <m/>
    <n v="297.41"/>
    <m/>
    <s v="MEL47170241332FMXDF01"/>
    <m/>
  </r>
  <r>
    <s v="28 de mayo de 2026 14:40 hs."/>
    <s v="Mercado Libre"/>
    <m/>
    <s v="28 de mayo de 2026 14:40 hs."/>
    <s v="2000013219877093"/>
    <m/>
    <s v="Hisae Xanat Carbajal"/>
    <n v="503635000300"/>
    <s v="Olnatura Just Glucosamina Condroitina 410 Cápsulas Sabor N/a"/>
    <x v="10"/>
    <n v="1"/>
    <m/>
    <n v="758.62"/>
    <n v="758.62"/>
    <m/>
    <n v="758.62"/>
    <m/>
    <s v="MEL47169930945FMXDF01"/>
    <m/>
  </r>
  <r>
    <s v="28 de mayo de 2026 14:34 hs."/>
    <s v="Mercado Libre"/>
    <m/>
    <s v="28 de mayo de 2026 14:34 hs."/>
    <s v="2000013219793151"/>
    <m/>
    <s v="Daniela Montes de Oca Méndez"/>
    <s v="503635004600"/>
    <s v="Olnatura Just Gomitas Biotina Arándano Sabor Frambuesa Vegano Sin Gluten 120 Uds"/>
    <x v="11"/>
    <n v="2"/>
    <m/>
    <n v="262.93"/>
    <n v="525.86"/>
    <m/>
    <n v="525.86"/>
    <m/>
    <s v="MEL47170166112FMXDF01"/>
    <m/>
  </r>
  <r>
    <s v="28 de mayo de 2026 14:16 hs."/>
    <s v="Mercado Libre"/>
    <m/>
    <s v="28 de mayo de 2026 14:16 hs."/>
    <s v="2000013219476265"/>
    <m/>
    <s v="Gladis Galvez"/>
    <n v="503635000900"/>
    <s v="Olnatura Justfx 90 Cápsulas De Glucosamina N/a"/>
    <x v="7"/>
    <n v="3"/>
    <m/>
    <n v="370.69"/>
    <n v="1112.07"/>
    <m/>
    <n v="1112.07"/>
    <m/>
    <s v="MEL47169758557FMXDF01"/>
    <m/>
  </r>
  <r>
    <s v="28 de mayo de 2026 13:44 hs."/>
    <s v="Mercado Libre"/>
    <m/>
    <s v="28 de mayo de 2026 13:44 hs."/>
    <s v="2000013218991453"/>
    <m/>
    <s v="Patricia Ramona Martinez"/>
    <s v="503635000100"/>
    <s v="Olnatura Glucosamina 240 Tabletas Boro Y Manganeso"/>
    <x v="12"/>
    <n v="1"/>
    <m/>
    <n v="491.38"/>
    <n v="491.38"/>
    <m/>
    <n v="491.38"/>
    <m/>
    <s v="MEL47169522595FMXDF01"/>
    <m/>
  </r>
  <r>
    <s v="28 de mayo de 2026 13:37 hs."/>
    <s v="Mercado Libre"/>
    <m/>
    <s v="28 de mayo de 2026 13:37 hs."/>
    <s v="2000013218852733"/>
    <m/>
    <s v="Gilberto Pineda Yacotu"/>
    <n v="503635000900"/>
    <s v="Olnatura Justfx 90 Cápsulas De Glucosamina N/a"/>
    <x v="7"/>
    <n v="1"/>
    <m/>
    <n v="370.69"/>
    <n v="370.69"/>
    <m/>
    <n v="370.69"/>
    <m/>
    <s v="MEL47169738414FMXDF01"/>
    <m/>
  </r>
  <r>
    <s v="28 de mayo de 2026 12:45 hs."/>
    <s v="Mercado Libre"/>
    <m/>
    <s v="28 de mayo de 2026 12:45 hs."/>
    <s v="2000013217989469"/>
    <m/>
    <s v="Jorge Alfredo Flores"/>
    <s v="503635002600"/>
    <s v="Just Collagen 180 Tabletas"/>
    <x v="8"/>
    <n v="2"/>
    <m/>
    <n v="297.41"/>
    <n v="594.8200000000001"/>
    <m/>
    <n v="594.8200000000001"/>
    <m/>
    <s v="MEL47169053815FMXDF01"/>
    <m/>
  </r>
  <r>
    <s v="28 de mayo de 2026 12:10 hs."/>
    <s v="Mercado Libre"/>
    <m/>
    <s v="28 de mayo de 2026 12:10 hs."/>
    <s v="2000013217354333"/>
    <m/>
    <s v="Lidia Saavedra Espinoza"/>
    <s v="503635002600"/>
    <s v="Just Collagen 180 Tabletas"/>
    <x v="8"/>
    <n v="4"/>
    <m/>
    <n v="297.41"/>
    <n v="1189.64"/>
    <m/>
    <n v="1189.64"/>
    <m/>
    <s v="MEL47168771997FMXDF01"/>
    <m/>
  </r>
  <r>
    <s v="28 de mayo de 2026 11:56 hs."/>
    <s v="Mercado Libre"/>
    <m/>
    <s v="28 de mayo de 2026 11:56 hs."/>
    <s v="2000013217112011"/>
    <m/>
    <s v="Martha Leticia Vargas Garcia"/>
    <s v="503635002600"/>
    <s v="Just Collagen 180 Tabletas"/>
    <x v="8"/>
    <n v="2"/>
    <m/>
    <n v="297.41"/>
    <n v="594.8200000000001"/>
    <m/>
    <n v="594.8200000000001"/>
    <m/>
    <s v="MEL47168657219FMXDF01"/>
    <m/>
  </r>
  <r>
    <s v="28 de mayo de 2026 09:45 hs."/>
    <s v="Mercado Libre"/>
    <m/>
    <s v="28 de mayo de 2026 09:45 hs."/>
    <s v="2000013214727367"/>
    <m/>
    <s v="Rafael Lopez"/>
    <s v="503635000705"/>
    <s v="Olnatura Just Justfx Suplemento Glucosamina Condroitina Colágeno 120 Cápsulas Sin Sabor"/>
    <x v="6"/>
    <n v="1"/>
    <m/>
    <n v="431.03"/>
    <n v="431.03"/>
    <m/>
    <n v="431.03"/>
    <m/>
    <s v="MEL47167838140FMXDF01"/>
    <m/>
  </r>
  <r>
    <s v="28 de mayo de 2026 09:38 hs."/>
    <s v="Mercado Libre"/>
    <m/>
    <s v="28 de mayo de 2026 09:38 hs."/>
    <s v="2000013214581527"/>
    <m/>
    <s v="Jose Luis Serrano Estevane"/>
    <n v="503635001700"/>
    <s v="Colágeno Hidrolizado Olnatura Just Collagen En Gomitas Con Sabor A Frutos Rojos"/>
    <x v="13"/>
    <n v="1"/>
    <m/>
    <n v="362.07"/>
    <n v="362.07"/>
    <m/>
    <n v="362.07"/>
    <m/>
    <s v="MEL47167777540FMXDF01"/>
    <m/>
  </r>
  <r>
    <s v="28 de mayo de 2026 08:50 hs."/>
    <s v="Mercado Libre"/>
    <m/>
    <s v="28 de mayo de 2026 08:50 hs."/>
    <s v="2000013213748157"/>
    <m/>
    <s v="Dora Cristina García  Pérez"/>
    <s v="503635000100"/>
    <s v="Just For You Glucosamina Condroitina 240 Tabletas Original"/>
    <x v="12"/>
    <n v="2"/>
    <m/>
    <n v="491.38"/>
    <n v="982.76"/>
    <m/>
    <n v="982.76"/>
    <m/>
    <s v="MEL47167136773FMXDF01"/>
    <m/>
  </r>
  <r>
    <s v="28 de mayo de 2026 08:36 hs."/>
    <s v="Mercado Libre"/>
    <m/>
    <s v="28 de mayo de 2026 08:36 hs."/>
    <s v="2000013213480501"/>
    <m/>
    <s v="Ernesto Martinez"/>
    <n v="503635001010"/>
    <s v="Colágeno Tipo 2 Premium. Sin Desnaturalizar 90 Cápsulas Olnatura Just Natural"/>
    <x v="4"/>
    <n v="2"/>
    <m/>
    <n v="775.86"/>
    <n v="1551.72"/>
    <m/>
    <n v="1551.72"/>
    <m/>
    <s v="MEL47167021647FMXDF01"/>
    <m/>
  </r>
  <r>
    <s v="28 de mayo de 2026 08:34 hs."/>
    <s v="Mercado Libre"/>
    <m/>
    <s v="28 de mayo de 2026 08:34 hs."/>
    <s v="2000013213481153"/>
    <m/>
    <s v="ERIKA VALENCIA"/>
    <s v="503635001020"/>
    <s v="Isoflavonas Olnatura Just 90 Tabletas"/>
    <x v="0"/>
    <n v="1"/>
    <m/>
    <n v="515.51"/>
    <n v="515.51"/>
    <m/>
    <n v="515.51"/>
    <m/>
    <s v="MEL47167280818FMXDF01"/>
    <m/>
  </r>
  <r>
    <s v="28 de mayo de 2026 06:18 hs."/>
    <s v="Mercado Libre"/>
    <m/>
    <s v="28 de mayo de 2026 06:18 hs."/>
    <s v="2000013211617045"/>
    <m/>
    <s v="Guadalupe pizano"/>
    <s v="503635000705"/>
    <s v="Olnatura Just Justfx Suplemento Glucosamina Condroitina Colágeno 120 Cápsulas Sin Sabor"/>
    <x v="6"/>
    <n v="1"/>
    <m/>
    <n v="431.03"/>
    <n v="431.03"/>
    <m/>
    <n v="431.03"/>
    <m/>
    <s v="MEL47166401160FMXDF01"/>
    <m/>
  </r>
  <r>
    <s v="28 de mayo de 2026 05:40 hs."/>
    <s v="Mercado Libre"/>
    <m/>
    <s v="28 de mayo de 2026 05:40 hs."/>
    <s v="2000013211170011"/>
    <m/>
    <s v="Ana Maria Vega"/>
    <n v="503635000900"/>
    <s v="Olnatura Justfx 90 Cápsulas De Glucosamina N/a"/>
    <x v="7"/>
    <n v="1"/>
    <m/>
    <n v="370.69"/>
    <n v="370.69"/>
    <m/>
    <n v="370.69"/>
    <m/>
    <s v="MEL47165920891FMXDF01"/>
    <m/>
  </r>
  <r>
    <s v="28 de mayo de 2026 00:58 hs."/>
    <s v="Mercado Libre"/>
    <m/>
    <s v="28 de mayo de 2026 00:58 hs."/>
    <s v="2000013210014493"/>
    <m/>
    <s v="Karla Paulina Anaya Gil"/>
    <s v="503635000705"/>
    <s v="Olnatura Just Justfx Suplemento Glucosamina Condroitina Colágeno 120 Cápsulas Sin Sabor"/>
    <x v="6"/>
    <n v="1"/>
    <m/>
    <n v="431.03"/>
    <n v="431.03"/>
    <m/>
    <n v="431.03"/>
    <m/>
    <s v="MEL47165334499FMXDF01"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1" cacheId="1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PRODUCTO" fieldListSortAscending="0" mdxSubqueries="0" applyNumberFormats="0" applyBorderFormats="0" applyFontFormats="0" applyPatternFormats="0" applyAlignmentFormats="0" applyWidthHeightFormats="1" r:id="rId1">
  <location ref="J33:K48" firstHeaderRow="1" firstDataRow="1" firstDataCol="1"/>
  <pivotFields count="19"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6">
        <item t="data" sd="1" m="1" x="14"/>
        <item t="data" sd="1" x="6"/>
        <item t="data" sd="1" x="7"/>
        <item t="data" sd="1" x="4"/>
        <item t="data" sd="1" x="12"/>
        <item t="data" sd="1" x="3"/>
        <item t="data" sd="1" x="8"/>
        <item t="data" sd="1" x="13"/>
        <item t="data" sd="1" x="10"/>
        <item t="data" sd="1" x="5"/>
        <item t="data" sd="1" x="0"/>
        <item t="data" sd="1" x="1"/>
        <item t="data" sd="1" x="2"/>
        <item t="data" sd="1" x="9"/>
        <item t="data" sd="1" x="1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</pivotFields>
  <rowFields count="1">
    <field x="9"/>
  </rowFields>
  <rowItems count="15"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grand" r="0" i="0">
      <x v="0"/>
    </i>
  </rowItems>
  <colItems count="1">
    <i t="data" r="0" i="0"/>
  </colItems>
  <dataFields count="1">
    <dataField name="Suma" fld="10" subtotal="sum" showDataAs="normal" baseField="0" baseItem="0"/>
  </dataFields>
  <formats count="99">
    <format action="formatting" dxfId="181">
      <pivotArea type="all" dataOnly="0" outline="0" fieldPosition="0"/>
    </format>
    <format action="formatting" dxfId="180">
      <pivotArea field="9" type="button" dataOnly="0" labelOnly="1" outline="0" axis="axisRow" fieldPosition="0"/>
    </format>
    <format action="formatting" dxfId="179">
      <pivotArea type="normal" dataOnly="0" labelOnly="1" outline="0" axis="axisValues" fieldPosition="0"/>
    </format>
    <format action="formatting" dxfId="178">
      <pivotArea field="9" type="button" dataOnly="0" labelOnly="1" outline="0" axis="axisRow" fieldPosition="0"/>
    </format>
    <format action="formatting" dxfId="177">
      <pivotArea type="normal" dataOnly="0" labelOnly="1" outline="0" axis="axisValues" fieldPosition="0"/>
    </format>
    <format action="formatting" dxfId="176">
      <pivotArea field="9" type="button" dataOnly="0" labelOnly="1" outline="0" axis="axisRow" fieldPosition="0"/>
    </format>
    <format action="formatting" dxfId="175">
      <pivotArea type="normal" dataOnly="0" labelOnly="1" outline="0" axis="axisValues" fieldPosition="0"/>
    </format>
    <format action="formatting" dxfId="174">
      <pivotArea field="9" type="button" dataOnly="0" labelOnly="1" outline="0" axis="axisRow" fieldPosition="0"/>
    </format>
    <format action="formatting" dxfId="173">
      <pivotArea type="normal" dataOnly="0" labelOnly="1" outline="0" axis="axisValues" fieldPosition="0"/>
    </format>
    <format action="formatting" dxfId="172">
      <pivotArea field="9" type="button" dataOnly="0" labelOnly="1" outline="0" axis="axisRow" fieldPosition="0"/>
    </format>
    <format action="formatting" dxfId="171">
      <pivotArea type="normal" dataOnly="0" labelOnly="1" outline="0" axis="axisValues" fieldPosition="0"/>
    </format>
    <format action="formatting" dxfId="170">
      <pivotArea type="normal" dataOnly="0" labelOnly="1" grandRow="1" outline="0" fieldPosition="0"/>
    </format>
    <format action="formatting" dxfId="169">
      <pivotArea type="all" dataOnly="0" outline="0" fieldPosition="0"/>
    </format>
    <format action="formatting" dxfId="168">
      <pivotArea type="normal" dataOnly="1" outline="0" collapsedLevelsAreSubtotals="1" fieldPosition="0"/>
    </format>
    <format action="formatting" dxfId="167">
      <pivotArea field="9" type="button" dataOnly="0" labelOnly="1" outline="0" axis="axisRow" fieldPosition="0"/>
    </format>
    <format action="formatting" dxfId="166">
      <pivotArea type="normal" dataOnly="0" labelOnly="1" grandRow="1" outline="0" fieldPosition="0"/>
    </format>
    <format action="formatting" dxfId="165">
      <pivotArea type="normal" dataOnly="0" labelOnly="1" outline="0" axis="axisValues" fieldPosition="0"/>
    </format>
    <format action="formatting" dxfId="164">
      <pivotArea type="all" dataOnly="0" outline="0" fieldPosition="0"/>
    </format>
    <format action="formatting" dxfId="163">
      <pivotArea type="normal" dataOnly="1" outline="0" collapsedLevelsAreSubtotals="1" fieldPosition="0"/>
    </format>
    <format action="formatting" dxfId="162">
      <pivotArea field="9" type="button" dataOnly="0" labelOnly="1" outline="0" axis="axisRow" fieldPosition="0"/>
    </format>
    <format action="formatting" dxfId="161">
      <pivotArea type="normal" dataOnly="0" labelOnly="1" grandRow="1" outline="0" fieldPosition="0"/>
    </format>
    <format action="formatting" dxfId="160">
      <pivotArea type="normal" dataOnly="0" labelOnly="1" outline="0" axis="axisValues" fieldPosition="0"/>
    </format>
    <format action="formatting" dxfId="159">
      <pivotArea type="all" dataOnly="0" outline="0" fieldPosition="0"/>
    </format>
    <format action="formatting" dxfId="158">
      <pivotArea type="normal" dataOnly="1" outline="0" collapsedLevelsAreSubtotals="1" fieldPosition="0"/>
    </format>
    <format action="formatting" dxfId="157">
      <pivotArea field="9" type="button" dataOnly="0" labelOnly="1" outline="0" axis="axisRow" fieldPosition="0"/>
    </format>
    <format action="formatting" dxfId="156">
      <pivotArea type="normal" dataOnly="0" labelOnly="1" grandRow="1" outline="0" fieldPosition="0"/>
    </format>
    <format action="formatting" dxfId="155">
      <pivotArea type="normal" dataOnly="0" labelOnly="1" outline="0" axis="axisValues" fieldPosition="0"/>
    </format>
    <format action="formatting" dxfId="154">
      <pivotArea type="all" dataOnly="0" outline="0" fieldPosition="0"/>
    </format>
    <format action="formatting" dxfId="153">
      <pivotArea type="normal" dataOnly="1" outline="0" collapsedLevelsAreSubtotals="1" fieldPosition="0"/>
    </format>
    <format action="formatting" dxfId="152">
      <pivotArea field="9" type="button" dataOnly="0" labelOnly="1" outline="0" axis="axisRow" fieldPosition="0"/>
    </format>
    <format action="formatting" dxfId="151">
      <pivotArea type="normal" dataOnly="0" labelOnly="1" grandRow="1" outline="0" fieldPosition="0"/>
    </format>
    <format action="formatting" dxfId="150">
      <pivotArea type="normal" dataOnly="0" labelOnly="1" outline="0" axis="axisValues" fieldPosition="0"/>
    </format>
    <format action="formatting" dxfId="149">
      <pivotArea type="all" dataOnly="0" outline="0" fieldPosition="0"/>
    </format>
    <format action="formatting" dxfId="148">
      <pivotArea type="normal" dataOnly="1" outline="0" collapsedLevelsAreSubtotals="1" fieldPosition="0"/>
    </format>
    <format action="formatting" dxfId="147">
      <pivotArea field="9" type="button" dataOnly="0" labelOnly="1" outline="0" axis="axisRow" fieldPosition="0"/>
    </format>
    <format action="formatting" dxfId="146">
      <pivotArea type="normal" dataOnly="0" labelOnly="1" grandRow="1" outline="0" fieldPosition="0"/>
    </format>
    <format action="formatting" dxfId="145">
      <pivotArea type="normal" dataOnly="0" labelOnly="1" outline="0" axis="axisValues" fieldPosition="0"/>
    </format>
    <format action="formatting" dxfId="144">
      <pivotArea type="all" dataOnly="0" outline="0" fieldPosition="0"/>
    </format>
    <format action="formatting" dxfId="143">
      <pivotArea type="all" dataOnly="0" outline="0" fieldPosition="0"/>
    </format>
    <format action="formatting" dxfId="142">
      <pivotArea type="normal" dataOnly="1" outline="0" collapsedLevelsAreSubtotals="1" fieldPosition="0"/>
    </format>
    <format action="formatting" dxfId="141">
      <pivotArea type="origin" dataOnly="0" labelOnly="1" outline="0" fieldPosition="0"/>
    </format>
    <format action="formatting" dxfId="140">
      <pivotArea type="topRight" dataOnly="0" labelOnly="1" outline="0" fieldPosition="0"/>
    </format>
    <format action="formatting" dxfId="139">
      <pivotArea field="9" type="button" dataOnly="0" labelOnly="1" outline="0" axis="axisRow" fieldPosition="0"/>
    </format>
    <format action="formatting" dxfId="138">
      <pivotArea type="normal" dataOnly="0" labelOnly="1" grandRow="1" outline="0" fieldPosition="0"/>
    </format>
    <format action="formatting" dxfId="137">
      <pivotArea type="normal" dataOnly="0" labelOnly="1" grandCol="1" outline="0" fieldPosition="0"/>
    </format>
    <format action="formatting" dxfId="136">
      <pivotArea type="all" dataOnly="0" outline="0" fieldPosition="0"/>
    </format>
    <format action="formatting" dxfId="135">
      <pivotArea type="normal" dataOnly="1" outline="0" collapsedLevelsAreSubtotals="1" fieldPosition="0"/>
    </format>
    <format action="formatting" dxfId="134">
      <pivotArea type="origin" dataOnly="0" labelOnly="1" outline="0" fieldPosition="0"/>
    </format>
    <format action="formatting" dxfId="133">
      <pivotArea type="topRight" dataOnly="0" labelOnly="1" outline="0" fieldPosition="0"/>
    </format>
    <format action="formatting" dxfId="132">
      <pivotArea field="9" type="button" dataOnly="0" labelOnly="1" outline="0" axis="axisRow" fieldPosition="0"/>
    </format>
    <format action="formatting" dxfId="131">
      <pivotArea type="normal" dataOnly="0" labelOnly="1" grandRow="1" outline="0" fieldPosition="0"/>
    </format>
    <format action="formatting" dxfId="130">
      <pivotArea type="normal" dataOnly="0" labelOnly="1" grandCol="1" outline="0" fieldPosition="0"/>
    </format>
    <format action="formatting" dxfId="129">
      <pivotArea type="all" dataOnly="0" outline="0" fieldPosition="0"/>
    </format>
    <format action="formatting" dxfId="128">
      <pivotArea type="normal" dataOnly="1" outline="0" collapsedLevelsAreSubtotals="1" fieldPosition="0"/>
    </format>
    <format action="formatting" dxfId="127">
      <pivotArea type="origin" dataOnly="0" labelOnly="1" outline="0" fieldPosition="0"/>
    </format>
    <format action="formatting" dxfId="126">
      <pivotArea type="topRight" dataOnly="0" labelOnly="1" outline="0" fieldPosition="0"/>
    </format>
    <format action="formatting" dxfId="125">
      <pivotArea field="9" type="button" dataOnly="0" labelOnly="1" outline="0" axis="axisRow" fieldPosition="0"/>
    </format>
    <format action="formatting" dxfId="124">
      <pivotArea type="normal" dataOnly="0" labelOnly="1" grandRow="1" outline="0" fieldPosition="0"/>
    </format>
    <format action="formatting" dxfId="123">
      <pivotArea type="normal" dataOnly="0" labelOnly="1" grandCol="1" outline="0" fieldPosition="0"/>
    </format>
    <format action="formatting" dxfId="122">
      <pivotArea type="all" dataOnly="0" outline="0" fieldPosition="0"/>
    </format>
    <format action="formatting" dxfId="121">
      <pivotArea type="normal" dataOnly="1" outline="0" collapsedLevelsAreSubtotals="1" fieldPosition="0"/>
    </format>
    <format action="formatting" dxfId="120">
      <pivotArea type="origin" dataOnly="0" labelOnly="1" outline="0" fieldPosition="0"/>
    </format>
    <format action="formatting" dxfId="119">
      <pivotArea type="topRight" dataOnly="0" labelOnly="1" outline="0" fieldPosition="0"/>
    </format>
    <format action="formatting" dxfId="118">
      <pivotArea field="9" type="button" dataOnly="0" labelOnly="1" outline="0" axis="axisRow" fieldPosition="0"/>
    </format>
    <format action="formatting" dxfId="117">
      <pivotArea type="normal" dataOnly="0" labelOnly="1" grandRow="1" outline="0" fieldPosition="0"/>
    </format>
    <format action="formatting" dxfId="116">
      <pivotArea type="normal" dataOnly="0" labelOnly="1" grandCol="1" outline="0" fieldPosition="0"/>
    </format>
    <format action="formatting" dxfId="115">
      <pivotArea type="all" dataOnly="0" outline="0" fieldPosition="0"/>
    </format>
    <format action="formatting" dxfId="114">
      <pivotArea type="normal" dataOnly="1" outline="0" collapsedLevelsAreSubtotals="1" fieldPosition="0"/>
    </format>
    <format action="formatting" dxfId="113">
      <pivotArea type="origin" dataOnly="0" labelOnly="1" outline="0" fieldPosition="0"/>
    </format>
    <format action="formatting" dxfId="112">
      <pivotArea type="topRight" dataOnly="0" labelOnly="1" outline="0" fieldPosition="0"/>
    </format>
    <format action="formatting" dxfId="111">
      <pivotArea field="9" type="button" dataOnly="0" labelOnly="1" outline="0" axis="axisRow" fieldPosition="0"/>
    </format>
    <format action="formatting" dxfId="110">
      <pivotArea type="normal" dataOnly="0" labelOnly="1" grandRow="1" outline="0" fieldPosition="0"/>
    </format>
    <format action="formatting" dxfId="109">
      <pivotArea type="normal" dataOnly="0" labelOnly="1" grandCol="1" outline="0" fieldPosition="0"/>
    </format>
    <format action="formatting" dxfId="108">
      <pivotArea type="all" dataOnly="0" outline="0" fieldPosition="0"/>
    </format>
    <format action="formatting" dxfId="107">
      <pivotArea type="normal" dataOnly="1" outline="0" collapsedLevelsAreSubtotals="1" fieldPosition="0"/>
    </format>
    <format action="formatting" dxfId="106">
      <pivotArea type="origin" dataOnly="0" labelOnly="1" outline="0" fieldPosition="0"/>
    </format>
    <format action="formatting" dxfId="105">
      <pivotArea type="topRight" dataOnly="0" labelOnly="1" outline="0" fieldPosition="0"/>
    </format>
    <format action="formatting" dxfId="104">
      <pivotArea field="9" type="button" dataOnly="0" labelOnly="1" outline="0" axis="axisRow" fieldPosition="0"/>
    </format>
    <format action="formatting" dxfId="103">
      <pivotArea type="normal" dataOnly="0" labelOnly="1" grandRow="1" outline="0" fieldPosition="0"/>
    </format>
    <format action="formatting" dxfId="102">
      <pivotArea type="normal" dataOnly="0" labelOnly="1" grandCol="1" outline="0" fieldPosition="0"/>
    </format>
    <format action="formatting" dxfId="101">
      <pivotArea type="all" dataOnly="0" outline="0" fieldPosition="0"/>
    </format>
    <format action="formatting" dxfId="100">
      <pivotArea type="normal" dataOnly="1" outline="0" collapsedLevelsAreSubtotals="1" fieldPosition="0"/>
    </format>
    <format action="formatting" dxfId="99">
      <pivotArea field="9" type="button" dataOnly="0" labelOnly="1" outline="0" axis="axisRow" fieldPosition="0"/>
    </format>
    <format action="formatting" dxfId="98">
      <pivotArea type="normal" dataOnly="0" labelOnly="1" grandRow="1" outline="0" fieldPosition="0"/>
    </format>
    <format action="formatting" dxfId="97">
      <pivotArea type="normal" dataOnly="0" labelOnly="1" outline="0" axis="axisValues" fieldPosition="0"/>
    </format>
    <format action="formatting" dxfId="96">
      <pivotArea type="normal" dataOnly="1" outline="0" collapsedLevelsAreSubtotals="1" fieldPosition="0"/>
    </format>
    <format action="formatting" dxfId="95">
      <pivotArea type="normal" dataOnly="0" labelOnly="1" outline="0" axis="axisValues" fieldPosition="0"/>
    </format>
    <format action="formatting" dxfId="94">
      <pivotArea type="normal" dataOnly="1" outline="0" collapsedLevelsAreSubtotals="1" fieldPosition="0"/>
    </format>
    <format action="formatting" dxfId="93">
      <pivotArea field="9" type="button" dataOnly="0" labelOnly="1" outline="0" axis="axisRow" fieldPosition="0"/>
    </format>
    <format action="formatting" dxfId="92">
      <pivotArea type="normal" dataOnly="0" labelOnly="1" grandRow="1" outline="0" fieldPosition="0"/>
    </format>
    <format action="formatting" dxfId="91">
      <pivotArea type="normal" dataOnly="0" labelOnly="1" outline="0" axis="axisValues" fieldPosition="0"/>
    </format>
    <format action="formatting" dxfId="90">
      <pivotArea type="normal" dataOnly="0" labelOnly="1" outline="1" fieldPosition="0">
        <references count="1">
          <reference field="9"/>
        </references>
      </pivotArea>
    </format>
    <format action="formatting" dxfId="89">
      <pivotArea type="all" dataOnly="0" outline="0" fieldPosition="0"/>
    </format>
    <format action="formatting" dxfId="88">
      <pivotArea type="normal" dataOnly="1" outline="0" collapsedLevelsAreSubtotals="1" fieldPosition="0"/>
    </format>
    <format action="formatting" dxfId="87">
      <pivotArea type="normal" dataOnly="0" labelOnly="1" outline="1" fieldPosition="0">
        <references count="1">
          <reference field="9"/>
        </references>
      </pivotArea>
    </format>
    <format action="formatting" dxfId="86">
      <pivotArea field="9" type="button" dataOnly="0" labelOnly="1" outline="0" axis="axisRow" fieldPosition="0"/>
    </format>
    <format action="formatting" dxfId="85">
      <pivotArea type="normal" dataOnly="0" labelOnly="1" outline="0" axis="axisValues" fieldPosition="0"/>
    </format>
    <format action="formatting" dxfId="84">
      <pivotArea type="normal" dataOnly="1" grandRow="1" outline="0" collapsedLevelsAreSubtotals="1" fieldPosition="0"/>
    </format>
    <format action="formatting" dxfId="83">
      <pivotArea type="normal" dataOnly="0" labelOnly="1" grandRow="1" outline="0" fieldPosition="0"/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Resultados" displayName="tblResultados" ref="A3:E4" headerRowCount="1">
  <autoFilter ref="A3:E4"/>
  <tableColumns count="5">
    <tableColumn id="1" name="Estado"/>
    <tableColumn id="2" name="Pedido Dynamics"/>
    <tableColumn id="3" name="Fecha de ejecución"/>
    <tableColumn id="4" name="Usuario"/>
    <tableColumn id="5" name="Err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N21" headerRowCount="1" totalsRowShown="0" headerRowDxfId="53" dataDxfId="52" headerRowCellStyle="Moneda" dataCellStyle="Moneda">
  <autoFilter ref="A1:N21"/>
  <tableColumns count="14">
    <tableColumn id="1" name="Fecha " dataDxfId="51">
      <calculatedColumnFormula>TODAY()</calculatedColumnFormula>
    </tableColumn>
    <tableColumn id="2" name="Plataforma" dataDxfId="50"/>
    <tableColumn id="3" name=" PO" dataDxfId="49"/>
    <tableColumn id="4" name=" Orden" dataDxfId="48"/>
    <tableColumn id="5" name="Cliente" dataDxfId="47"/>
    <tableColumn id="6" name="Dynamics" dataDxfId="46">
      <calculatedColumnFormula>_xlfn.XLOOKUP(Tabla3[[#This Row],[Producto ]],'Form C'!A:A,'Form C'!B:B,1,0)</calculatedColumnFormula>
    </tableColumn>
    <tableColumn id="7" name="Producto " dataDxfId="45"/>
    <tableColumn id="8" name="Cantidad" dataDxfId="44"/>
    <tableColumn id="9" name="Costo" dataDxfId="43" dataCellStyle="Moneda">
      <calculatedColumnFormula>_xlfn.XLOOKUP(Tabla3[[#This Row],[Dynamics]],'Form C'!B:B,'Form C'!D:D,0,0)</calculatedColumnFormula>
    </tableColumn>
    <tableColumn id="10" name="Subtotal" dataDxfId="42" dataCellStyle="Moneda">
      <calculatedColumnFormula>$H2*$I2</calculatedColumnFormula>
    </tableColumn>
    <tableColumn id="11" name="Envío" dataDxfId="41" dataCellStyle="Moneda">
      <calculatedColumnFormula>_xlfn.XLOOKUP(Tabla3[[#This Row],[Plataforma]],'Form C'!E:E,'Form C'!F:F,0,0,1)</calculatedColumnFormula>
    </tableColumn>
    <tableColumn id="12" name="Total" dataDxfId="40" dataCellStyle="Moneda">
      <calculatedColumnFormula>J2+K2</calculatedColumnFormula>
    </tableColumn>
    <tableColumn id="13" name="Ov" dataDxfId="39"/>
    <tableColumn id="14" name="Guía" dataDxfId="38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Tabla4" displayName="Tabla4" ref="A1:S32" headerRowCount="1" totalsRowShown="0" headerRowDxfId="82" dataDxfId="81" headerRowCellStyle="Moneda">
  <autoFilter ref="A1:S32"/>
  <tableColumns count="19">
    <tableColumn id="1" name="Fecha" dataDxfId="80"/>
    <tableColumn id="2" name="Mercado Libre" dataDxfId="79" totalsRowDxfId="78"/>
    <tableColumn id="19" name="Columna1" dataDxfId="77" totalsRowDxfId="76"/>
    <tableColumn id="3" name="Fecha de compra" dataDxfId="75"/>
    <tableColumn id="4" name="N° venta" dataDxfId="74"/>
    <tableColumn id="5" name=" Orden" dataDxfId="73" totalsRowDxfId="72"/>
    <tableColumn id="6" name="Cliente" dataDxfId="71"/>
    <tableColumn id="7" name="Dynamics" dataDxfId="70">
      <calculatedColumnFormula>+_xlfn.XLOOKUP(Tabla4[[#This Row],[Título de la publicación]],ML!C:C,ML!A:A,1,0,1)</calculatedColumnFormula>
    </tableColumn>
    <tableColumn id="8" name="Título de la publicación" dataDxfId="69"/>
    <tableColumn id="17" name="Producto" dataDxfId="68">
      <calculatedColumnFormula>+_xlfn.XLOOKUP(Tabla4[[#This Row],[Dynamics]],ML!A:A,ML!B:B,1,0,1)</calculatedColumnFormula>
    </tableColumn>
    <tableColumn id="9" name="Cantidad" dataDxfId="67"/>
    <tableColumn id="10" name="Costo exc" dataDxfId="66" totalsRowDxfId="65" dataCellStyle="Normal 2"/>
    <tableColumn id="16" name="Costo " dataDxfId="64" totalsRowDxfId="63" dataCellStyle="Moneda">
      <calculatedColumnFormula>+_xlfn.XLOOKUP(Tabla4[[#This Row],[Dynamics]],ML!A:A,ML!E:E,1,0,1)</calculatedColumnFormula>
    </tableColumn>
    <tableColumn id="11" name="Subtotal" dataDxfId="62" totalsRowDxfId="61" dataCellStyle="Moneda">
      <calculatedColumnFormula>Tabla4[[#This Row],[Cantidad]]*Tabla4[[#This Row],[Costo ]]</calculatedColumnFormula>
    </tableColumn>
    <tableColumn id="12" name="Envío" dataDxfId="60" totalsRowDxfId="59" dataCellStyle="Moneda"/>
    <tableColumn id="13" name="Total" dataDxfId="58" totalsRowDxfId="57" dataCellStyle="Moneda">
      <calculatedColumnFormula>Tabla4[[#This Row],[Subtotal]]+Tabla4[[#This Row],[Envío]]</calculatedColumnFormula>
    </tableColumn>
    <tableColumn id="14" name="Orden de venta" dataDxfId="56" dataCellStyle="Normal 4"/>
    <tableColumn id="15" name="Guía" dataDxfId="55"/>
    <tableColumn id="18" name="DESCUENTO" dataDxfId="54" dataCellStyle="Porcentaje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4" name="Tabla27" displayName="Tabla27" ref="A3:E45" headerRowCount="1" totalsRowShown="0" headerRowDxfId="37" dataDxfId="36" tableBorderDxfId="35">
  <autoFilter ref="A3:E45"/>
  <tableColumns count="5">
    <tableColumn id="1" name="CÓDIGO" dataDxfId="34"/>
    <tableColumn id="2" name="PRODUCTO" dataDxfId="33"/>
    <tableColumn id="3" name="TÍTULO PUBLICACIÓN" dataDxfId="32"/>
    <tableColumn id="4" name="Precio de facturación" dataDxfId="31"/>
    <tableColumn id="5" name="Precio de venta" dataDxfId="3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a62" displayName="Tabla62" ref="A3:H138" headerRowCount="1" totalsRowShown="0" headerRowDxfId="29" dataDxfId="28">
  <autoFilter ref="A3:H138"/>
  <tableColumns count="8">
    <tableColumn id="1" name="CÓDIGO" dataDxfId="27"/>
    <tableColumn id="2" name="PRODUCTO" dataDxfId="26"/>
    <tableColumn id="3" name="TÍTULO PUBLICACIÓN" dataDxfId="25"/>
    <tableColumn id="4" name="Precio de venta normal" dataDxfId="24"/>
    <tableColumn id="5" name="Precio de facturación" dataDxfId="23"/>
    <tableColumn id="6" name="Precio de venta" dataDxfId="22"/>
    <tableColumn id="7" name="Precio de facturación2" dataDxfId="21"/>
    <tableColumn id="8" name="Precio de facturación3" dataDxfId="2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a58" displayName="Tabla58" ref="A3:E54" headerRowCount="1" totalsRowShown="0" headerRowDxfId="19" dataDxfId="18">
  <autoFilter ref="A3:E54"/>
  <tableColumns count="5">
    <tableColumn id="1" name="CÓDIGO" dataDxfId="17"/>
    <tableColumn id="2" name="PRODUCTO" dataDxfId="16"/>
    <tableColumn id="3" name="TÍTULO PUBLICACIÓN" dataDxfId="15"/>
    <tableColumn id="4" name="Precio de facturación" dataDxfId="14"/>
    <tableColumn id="5" name="Precio de venta" dataDxfId="1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Historial" displayName="tblHistorial" ref="A1:K1" headerRowCount="1">
  <autoFilter ref="A1:K1"/>
  <tableColumns count="11">
    <tableColumn id="1" name="FechaHora"/>
    <tableColumn id="2" name="OrdenVenta"/>
    <tableColumn id="3" name="ReferenciaCliente"/>
    <tableColumn id="4" name="Cliente"/>
    <tableColumn id="5" name="DescripcionPedido"/>
    <tableColumn id="6" name="Codigo_Articulo"/>
    <tableColumn id="7" name="Cantidad"/>
    <tableColumn id="8" name="PrecioUnitario"/>
    <tableColumn id="9" name="Porcentaje de descuento"/>
    <tableColumn id="10" name="Fecha de envio"/>
    <tableColumn id="11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mercadolibre.com.mx/ventas/2000013227330657/detalle" TargetMode="External" Id="rId1" /><Relationship Type="http://schemas.openxmlformats.org/officeDocument/2006/relationships/hyperlink" Target="https://www.mercadolibre.com.mx/ventas/2000013225451755/detalle" TargetMode="External" Id="rId2" /><Relationship Type="http://schemas.openxmlformats.org/officeDocument/2006/relationships/hyperlink" Target="https://www.mercadolibre.com.mx/ventas/2000013224315483/detalle" TargetMode="External" Id="rId3" /><Relationship Type="http://schemas.openxmlformats.org/officeDocument/2006/relationships/hyperlink" Target="https://www.mercadolibre.com.mx/ventas/2000013223965573/detalle" TargetMode="External" Id="rId4" /><Relationship Type="http://schemas.openxmlformats.org/officeDocument/2006/relationships/hyperlink" Target="https://www.mercadolibre.com.mx/ventas/2000013223948613/detalle" TargetMode="External" Id="rId5" /><Relationship Type="http://schemas.openxmlformats.org/officeDocument/2006/relationships/hyperlink" Target="https://www.mercadolibre.com.mx/ventas/2000013223768681/detalle" TargetMode="External" Id="rId6" /><Relationship Type="http://schemas.openxmlformats.org/officeDocument/2006/relationships/hyperlink" Target="https://www.mercadolibre.com.mx/ventas/2000013220609499/detalle" TargetMode="External" Id="rId7" /><Relationship Type="http://schemas.openxmlformats.org/officeDocument/2006/relationships/hyperlink" Target="https://www.mercadolibre.com.mx/ventas/2000013223002303/detalle" TargetMode="External" Id="rId8" /><Relationship Type="http://schemas.openxmlformats.org/officeDocument/2006/relationships/hyperlink" Target="https://www.mercadolibre.com.mx/ventas/2000013222523621/detalle" TargetMode="External" Id="rId9" /><Relationship Type="http://schemas.openxmlformats.org/officeDocument/2006/relationships/hyperlink" Target="https://www.mercadolibre.com.mx/ventas/2000013222120117/detalle" TargetMode="External" Id="rId10" /><Relationship Type="http://schemas.openxmlformats.org/officeDocument/2006/relationships/hyperlink" Target="https://www.mercadolibre.com.mx/ventas/2000013221578383/detalle" TargetMode="External" Id="rId11" /><Relationship Type="http://schemas.openxmlformats.org/officeDocument/2006/relationships/hyperlink" Target="https://www.mercadolibre.com.mx/ventas/2000013221130021/detalle" TargetMode="External" Id="rId12" /><Relationship Type="http://schemas.openxmlformats.org/officeDocument/2006/relationships/hyperlink" Target="https://www.mercadolibre.com.mx/ventas/2000016657172978/detalle" TargetMode="External" Id="rId13" /><Relationship Type="http://schemas.openxmlformats.org/officeDocument/2006/relationships/hyperlink" Target="https://www.mercadolibre.com.mx/ventas/2000013220187561/detalle" TargetMode="External" Id="rId14" /><Relationship Type="http://schemas.openxmlformats.org/officeDocument/2006/relationships/hyperlink" Target="https://www.mercadolibre.com.mx/ventas/2000016656655078/detalle" TargetMode="External" Id="rId15" /><Relationship Type="http://schemas.openxmlformats.org/officeDocument/2006/relationships/hyperlink" Target="https://www.mercadolibre.com.mx/ventas/2000013219877093/detalle" TargetMode="External" Id="rId16" /><Relationship Type="http://schemas.openxmlformats.org/officeDocument/2006/relationships/hyperlink" Target="https://www.mercadolibre.com.mx/ventas/2000013219793151/detalle" TargetMode="External" Id="rId17" /><Relationship Type="http://schemas.openxmlformats.org/officeDocument/2006/relationships/hyperlink" Target="https://www.mercadolibre.com.mx/ventas/2000013219476265/detalle" TargetMode="External" Id="rId18" /><Relationship Type="http://schemas.openxmlformats.org/officeDocument/2006/relationships/hyperlink" Target="https://www.mercadolibre.com.mx/ventas/2000013218991453/detalle" TargetMode="External" Id="rId19" /><Relationship Type="http://schemas.openxmlformats.org/officeDocument/2006/relationships/hyperlink" Target="https://www.mercadolibre.com.mx/ventas/2000013218852733/detalle" TargetMode="External" Id="rId20" /><Relationship Type="http://schemas.openxmlformats.org/officeDocument/2006/relationships/hyperlink" Target="https://www.mercadolibre.com.mx/ventas/2000013217989469/detalle" TargetMode="External" Id="rId21" /><Relationship Type="http://schemas.openxmlformats.org/officeDocument/2006/relationships/hyperlink" Target="https://www.mercadolibre.com.mx/ventas/2000013217354333/detalle" TargetMode="External" Id="rId22" /><Relationship Type="http://schemas.openxmlformats.org/officeDocument/2006/relationships/hyperlink" Target="https://www.mercadolibre.com.mx/ventas/2000013217112011/detalle" TargetMode="External" Id="rId23" /><Relationship Type="http://schemas.openxmlformats.org/officeDocument/2006/relationships/hyperlink" Target="https://www.mercadolibre.com.mx/ventas/2000013214727367/detalle" TargetMode="External" Id="rId24" /><Relationship Type="http://schemas.openxmlformats.org/officeDocument/2006/relationships/hyperlink" Target="https://www.mercadolibre.com.mx/ventas/2000013214581527/detalle" TargetMode="External" Id="rId25" /><Relationship Type="http://schemas.openxmlformats.org/officeDocument/2006/relationships/hyperlink" Target="https://www.mercadolibre.com.mx/ventas/2000013213748157/detalle" TargetMode="External" Id="rId26" /><Relationship Type="http://schemas.openxmlformats.org/officeDocument/2006/relationships/hyperlink" Target="https://www.mercadolibre.com.mx/ventas/2000013213480501/detalle" TargetMode="External" Id="rId27" /><Relationship Type="http://schemas.openxmlformats.org/officeDocument/2006/relationships/hyperlink" Target="https://www.mercadolibre.com.mx/ventas/2000013213481153/detalle" TargetMode="External" Id="rId28" /><Relationship Type="http://schemas.openxmlformats.org/officeDocument/2006/relationships/hyperlink" Target="https://www.mercadolibre.com.mx/ventas/2000013211617045/detalle" TargetMode="External" Id="rId29" /><Relationship Type="http://schemas.openxmlformats.org/officeDocument/2006/relationships/hyperlink" Target="https://www.mercadolibre.com.mx/ventas/2000013211170011/detalle" TargetMode="External" Id="rId30" /><Relationship Type="http://schemas.openxmlformats.org/officeDocument/2006/relationships/hyperlink" Target="https://www.mercadolibre.com.mx/ventas/2000013210014493/detalle" TargetMode="External" Id="rId31" /><Relationship Type="http://schemas.openxmlformats.org/officeDocument/2006/relationships/table" Target="/xl/tables/table3.xml" Id="rId32" /><Relationship Type="http://schemas.openxmlformats.org/officeDocument/2006/relationships/pivotTable" Target="/xl/pivotTables/pivotTable1.xml" Id="rId33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50" customWidth="1" min="5" max="5"/>
  </cols>
  <sheetData>
    <row r="1">
      <c r="A1" t="inlineStr">
        <is>
          <t>URL API (ngrok)</t>
        </is>
      </c>
      <c r="B1" t="inlineStr"/>
    </row>
    <row r="2">
      <c r="A2" t="inlineStr">
        <is>
          <t>Resultado ultima ejecucion</t>
        </is>
      </c>
    </row>
    <row r="3">
      <c r="A3" t="inlineStr">
        <is>
          <t>Estado</t>
        </is>
      </c>
      <c r="B3" t="inlineStr">
        <is>
          <t>Pedido Dynamics</t>
        </is>
      </c>
      <c r="C3" t="inlineStr">
        <is>
          <t>Fecha de ejecución</t>
        </is>
      </c>
      <c r="D3" t="inlineStr">
        <is>
          <t>Usuario</t>
        </is>
      </c>
      <c r="E3" t="inlineStr">
        <is>
          <t>Error</t>
        </is>
      </c>
    </row>
    <row r="4">
      <c r="A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SUBIR ORDENES DE VENTA A DYNAMICS (Marketing)</t>
        </is>
      </c>
    </row>
    <row r="3">
      <c r="A3" t="inlineStr">
        <is>
          <t>1. Arranque dynamics-integration (run.ps1) y ngrok http 8080</t>
        </is>
      </c>
    </row>
    <row r="4">
      <c r="A4" t="inlineStr">
        <is>
          <t>2. Pegue la URL https de ngrok en Resultado!B1</t>
        </is>
      </c>
    </row>
    <row r="5">
      <c r="A5" t="inlineStr">
        <is>
          <t>3. En Excel web: Automatizar &gt; Nuevo script &gt; pegar dist/ProbarConexion.osts.ts</t>
        </is>
      </c>
    </row>
    <row r="6">
      <c r="A6" t="inlineStr">
        <is>
          <t>4. Repita con dist/SubirMarketing.osts.ts (boton Subir pedidos)</t>
        </is>
      </c>
    </row>
    <row r="8">
      <c r="A8" t="inlineStr">
        <is>
          <t>CAPTURA (como siempre):</t>
        </is>
      </c>
    </row>
    <row r="9">
      <c r="A9" t="inlineStr">
        <is>
          <t>- Costco: Tabla3 con Cuenta Dynamics (ej. C0010), codigo en Dynamics, Cantidad, Ov vacia</t>
        </is>
      </c>
    </row>
    <row r="10">
      <c r="A10" t="inlineStr">
        <is>
          <t>- E-commerce: Tabla4 igual; si no hay Cuenta Dynamics, use columna Cliente con el codigo</t>
        </is>
      </c>
    </row>
    <row r="11">
      <c r="A11" t="inlineStr">
        <is>
          <t>- El nombre del cliente puede quedar en otra columna; Dynamics exige cuenta (C00xx)</t>
        </is>
      </c>
    </row>
    <row r="13">
      <c r="A13" t="inlineStr">
        <is>
          <t>SUBIR:</t>
        </is>
      </c>
    </row>
    <row r="14">
      <c r="A14" t="inlineStr">
        <is>
          <t>- Probar conexion</t>
        </is>
      </c>
    </row>
    <row r="15">
      <c r="A15" t="inlineStr">
        <is>
          <t>- Subir pedidos marketing (todas las filas pendientes de Costco y E-commerce)</t>
        </is>
      </c>
    </row>
    <row r="17">
      <c r="A17" t="inlineStr">
        <is>
          <t>El numero OV se escribe en Ov / Orden de venta y queda en Historial.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/>
  </sheetPr>
  <dimension ref="A1:S118"/>
  <sheetViews>
    <sheetView showGridLines="0" workbookViewId="0">
      <selection activeCell="D5" sqref="D5"/>
    </sheetView>
  </sheetViews>
  <sheetFormatPr baseColWidth="10" defaultColWidth="11.453125" defaultRowHeight="14.5"/>
  <cols>
    <col width="11.54296875" customWidth="1" style="5" min="1" max="1"/>
    <col width="12.54296875" customWidth="1" style="1" min="2" max="2"/>
    <col width="13" customWidth="1" style="1" min="3" max="4"/>
    <col width="40.26953125" customWidth="1" style="1" min="5" max="5"/>
    <col width="16.54296875" customWidth="1" style="1" min="6" max="6"/>
    <col width="26" bestFit="1" customWidth="1" min="7" max="7"/>
    <col width="13.81640625" customWidth="1" style="1" min="8" max="8"/>
    <col width="13.7265625" customWidth="1" style="463" min="9" max="9"/>
    <col width="14" customWidth="1" style="463" min="10" max="10"/>
    <col width="9" customWidth="1" style="463" min="11" max="11"/>
    <col width="13.453125" customWidth="1" style="463" min="12" max="12"/>
    <col width="11.81640625" customWidth="1" style="1" min="13" max="13"/>
    <col width="14.1796875" customWidth="1" style="1" min="14" max="14"/>
    <col width="16.7265625" customWidth="1" min="16" max="16"/>
    <col width="50.1796875" customWidth="1" min="17" max="17"/>
    <col width="20.7265625" customWidth="1" min="19" max="19"/>
  </cols>
  <sheetData>
    <row r="1" ht="22.15" customFormat="1" customHeight="1" s="17">
      <c r="A1" s="23" t="inlineStr">
        <is>
          <t xml:space="preserve">Fecha </t>
        </is>
      </c>
      <c r="B1" s="24" t="inlineStr">
        <is>
          <t>Plataforma</t>
        </is>
      </c>
      <c r="C1" s="24" t="inlineStr">
        <is>
          <t xml:space="preserve"> PO</t>
        </is>
      </c>
      <c r="D1" s="24" t="inlineStr">
        <is>
          <t xml:space="preserve"> Orden</t>
        </is>
      </c>
      <c r="E1" s="24" t="inlineStr">
        <is>
          <t>Cliente</t>
        </is>
      </c>
      <c r="F1" s="24" t="inlineStr">
        <is>
          <t>Dynamics</t>
        </is>
      </c>
      <c r="G1" s="24" t="inlineStr">
        <is>
          <t xml:space="preserve">Producto </t>
        </is>
      </c>
      <c r="H1" s="24" t="inlineStr">
        <is>
          <t>Cantidad</t>
        </is>
      </c>
      <c r="I1" s="464" t="inlineStr">
        <is>
          <t>Costo</t>
        </is>
      </c>
      <c r="J1" s="465" t="inlineStr">
        <is>
          <t>Subtotal</t>
        </is>
      </c>
      <c r="K1" s="465" t="inlineStr">
        <is>
          <t>Envío</t>
        </is>
      </c>
      <c r="L1" s="465" t="inlineStr">
        <is>
          <t>Total</t>
        </is>
      </c>
      <c r="M1" s="24" t="inlineStr">
        <is>
          <t>Ov</t>
        </is>
      </c>
      <c r="N1" s="24" t="inlineStr">
        <is>
          <t>Guía</t>
        </is>
      </c>
    </row>
    <row r="2" customFormat="1" s="17">
      <c r="A2" s="18">
        <f>TODAY()</f>
        <v/>
      </c>
      <c r="B2" s="19" t="inlineStr">
        <is>
          <t xml:space="preserve">Costco </t>
        </is>
      </c>
      <c r="C2" s="38" t="n"/>
      <c r="D2" s="38" t="n"/>
      <c r="E2" t="inlineStr">
        <is>
          <t>Ms. EVA SUSANA CONZUELO GONZALEZ</t>
        </is>
      </c>
      <c r="F2" s="27">
        <f>_xlfn.XLOOKUP(Tabla3[[#This Row],[Producto ]],'Form C'!A:A,'Form C'!B:B,1,0)</f>
        <v/>
      </c>
      <c r="G2" t="inlineStr">
        <is>
          <t>JustFx 120 Capsulas</t>
        </is>
      </c>
      <c r="H2" s="40" t="n">
        <v>1</v>
      </c>
      <c r="I2" s="466">
        <f>_xlfn.XLOOKUP(Tabla3[[#This Row],[Dynamics]],'Form C'!B:B,'Form C'!D:D,0,0)</f>
        <v/>
      </c>
      <c r="J2" s="467">
        <f>$H2*$I2</f>
        <v/>
      </c>
      <c r="K2" s="468">
        <f>_xlfn.XLOOKUP(Tabla3[[#This Row],[Plataforma]],'Form C'!E:E,'Form C'!F:F,0,0,1)</f>
        <v/>
      </c>
      <c r="L2" s="467">
        <f>J2+K2</f>
        <v/>
      </c>
      <c r="N2" s="41" t="n"/>
    </row>
    <row r="3" ht="15.5" customHeight="1">
      <c r="A3" s="18">
        <f>TODAY()</f>
        <v/>
      </c>
      <c r="B3" s="19" t="inlineStr">
        <is>
          <t xml:space="preserve">Costco </t>
        </is>
      </c>
      <c r="C3" s="38" t="n"/>
      <c r="D3" s="38" t="n"/>
      <c r="F3" s="27">
        <f>_xlfn.XLOOKUP(Tabla3[[#This Row],[Producto ]],'Form C'!A:A,'Form C'!B:B,1,0)</f>
        <v/>
      </c>
      <c r="H3" s="40" t="n"/>
      <c r="I3" s="466">
        <f>_xlfn.XLOOKUP(Tabla3[[#This Row],[Dynamics]],'Form C'!B:B,'Form C'!D:D,0,0)</f>
        <v/>
      </c>
      <c r="J3" s="467">
        <f>$H3*$I3</f>
        <v/>
      </c>
      <c r="K3" s="468">
        <f>_xlfn.XLOOKUP(Tabla3[[#This Row],[Plataforma]],'Form C'!E:E,'Form C'!F:F,0,0,1)</f>
        <v/>
      </c>
      <c r="L3" s="467">
        <f>J3+K3</f>
        <v/>
      </c>
      <c r="N3" s="41" t="n"/>
      <c r="P3" s="29" t="n"/>
      <c r="Q3" s="30" t="n"/>
      <c r="R3" s="2" t="n"/>
      <c r="S3" s="31" t="n"/>
    </row>
    <row r="4">
      <c r="A4" s="18">
        <f>TODAY()</f>
        <v/>
      </c>
      <c r="B4" s="19" t="inlineStr">
        <is>
          <t xml:space="preserve">Costco </t>
        </is>
      </c>
      <c r="C4" s="38" t="n"/>
      <c r="D4" s="38" t="n"/>
      <c r="F4" s="27">
        <f>_xlfn.XLOOKUP(Tabla3[[#This Row],[Producto ]],'Form C'!A:A,'Form C'!B:B,1,0)</f>
        <v/>
      </c>
      <c r="H4" s="40" t="n"/>
      <c r="I4" s="467">
        <f>_xlfn.XLOOKUP(Tabla3[[#This Row],[Dynamics]],'Form C'!B:B,'Form C'!D:D,0,0)</f>
        <v/>
      </c>
      <c r="J4" s="467">
        <f>$H4*$I4</f>
        <v/>
      </c>
      <c r="K4" s="467">
        <f>_xlfn.XLOOKUP(Tabla3[[#This Row],[Plataforma]],'Form C'!E:E,'Form C'!F:F,0,0,1)</f>
        <v/>
      </c>
      <c r="L4" s="467">
        <f>J4+K4</f>
        <v/>
      </c>
      <c r="N4" s="41" t="n"/>
    </row>
    <row r="5">
      <c r="A5" s="18">
        <f>TODAY()</f>
        <v/>
      </c>
      <c r="B5" s="19" t="inlineStr">
        <is>
          <t xml:space="preserve">Costco </t>
        </is>
      </c>
      <c r="C5" s="38" t="n"/>
      <c r="D5" s="38" t="n"/>
      <c r="F5" s="27">
        <f>_xlfn.XLOOKUP(Tabla3[[#This Row],[Producto ]],'Form C'!A:A,'Form C'!B:B,1,0)</f>
        <v/>
      </c>
      <c r="H5" s="40" t="n"/>
      <c r="I5" s="467">
        <f>_xlfn.XLOOKUP(Tabla3[[#This Row],[Dynamics]],'Form C'!B:B,'Form C'!D:D,0,0)</f>
        <v/>
      </c>
      <c r="J5" s="467">
        <f>$H5*$I5</f>
        <v/>
      </c>
      <c r="K5" s="467">
        <f>_xlfn.XLOOKUP(Tabla3[[#This Row],[Plataforma]],'Form C'!E:E,'Form C'!F:F,0,0,1)</f>
        <v/>
      </c>
      <c r="L5" s="467">
        <f>J5+K5</f>
        <v/>
      </c>
      <c r="N5" s="41" t="n"/>
    </row>
    <row r="6">
      <c r="A6" s="18">
        <f>TODAY()</f>
        <v/>
      </c>
      <c r="B6" s="19" t="inlineStr">
        <is>
          <t xml:space="preserve">Costco </t>
        </is>
      </c>
      <c r="C6" s="38" t="n"/>
      <c r="D6" s="38" t="n"/>
      <c r="F6" s="27">
        <f>_xlfn.XLOOKUP(Tabla3[[#This Row],[Producto ]],'Form C'!A:A,'Form C'!B:B,1,0)</f>
        <v/>
      </c>
      <c r="H6" s="40" t="n"/>
      <c r="I6" s="467">
        <f>_xlfn.XLOOKUP(Tabla3[[#This Row],[Dynamics]],'Form C'!B:B,'Form C'!D:D,0,0)</f>
        <v/>
      </c>
      <c r="J6" s="467">
        <f>$H6*$I6</f>
        <v/>
      </c>
      <c r="K6" s="467">
        <f>_xlfn.XLOOKUP(Tabla3[[#This Row],[Plataforma]],'Form C'!E:E,'Form C'!F:F,0,0,1)</f>
        <v/>
      </c>
      <c r="L6" s="467">
        <f>J6+K6</f>
        <v/>
      </c>
      <c r="N6" s="41" t="n"/>
    </row>
    <row r="7">
      <c r="A7" s="18">
        <f>TODAY()</f>
        <v/>
      </c>
      <c r="B7" s="19" t="inlineStr">
        <is>
          <t xml:space="preserve">Costco </t>
        </is>
      </c>
      <c r="C7" s="38" t="n"/>
      <c r="D7" s="38" t="n"/>
      <c r="F7" s="27">
        <f>_xlfn.XLOOKUP(Tabla3[[#This Row],[Producto ]],'Form C'!A:A,'Form C'!B:B,1,0)</f>
        <v/>
      </c>
      <c r="H7" s="40" t="n"/>
      <c r="I7" s="467">
        <f>_xlfn.XLOOKUP(Tabla3[[#This Row],[Dynamics]],'Form C'!B:B,'Form C'!D:D,0,0)</f>
        <v/>
      </c>
      <c r="J7" s="467">
        <f>$H7*$I7</f>
        <v/>
      </c>
      <c r="K7" s="467">
        <f>_xlfn.XLOOKUP(Tabla3[[#This Row],[Plataforma]],'Form C'!E:E,'Form C'!F:F,0,0,1)</f>
        <v/>
      </c>
      <c r="L7" s="467">
        <f>J7+K7</f>
        <v/>
      </c>
      <c r="N7" s="41" t="n"/>
    </row>
    <row r="8">
      <c r="A8" s="18">
        <f>TODAY()</f>
        <v/>
      </c>
      <c r="B8" s="19" t="inlineStr">
        <is>
          <t xml:space="preserve">Costco </t>
        </is>
      </c>
      <c r="C8" s="38" t="n"/>
      <c r="D8" s="38" t="n"/>
      <c r="F8" s="27">
        <f>_xlfn.XLOOKUP(Tabla3[[#This Row],[Producto ]],'Form C'!A:A,'Form C'!B:B,1,0)</f>
        <v/>
      </c>
      <c r="H8" s="40" t="n"/>
      <c r="I8" s="467">
        <f>_xlfn.XLOOKUP(Tabla3[[#This Row],[Dynamics]],'Form C'!B:B,'Form C'!D:D,0,0)</f>
        <v/>
      </c>
      <c r="J8" s="467">
        <f>$H8*$I8</f>
        <v/>
      </c>
      <c r="K8" s="467">
        <f>_xlfn.XLOOKUP(Tabla3[[#This Row],[Plataforma]],'Form C'!E:E,'Form C'!F:F,0,0,1)</f>
        <v/>
      </c>
      <c r="L8" s="467">
        <f>J8+K8</f>
        <v/>
      </c>
      <c r="N8" s="41" t="n"/>
    </row>
    <row r="9">
      <c r="A9" s="18">
        <f>TODAY()</f>
        <v/>
      </c>
      <c r="B9" s="19" t="inlineStr">
        <is>
          <t xml:space="preserve">Costco </t>
        </is>
      </c>
      <c r="C9" s="38" t="n"/>
      <c r="D9" s="38" t="n"/>
      <c r="F9" s="27">
        <f>_xlfn.XLOOKUP(Tabla3[[#This Row],[Producto ]],'Form C'!A:A,'Form C'!B:B,1,0)</f>
        <v/>
      </c>
      <c r="H9" s="40" t="n"/>
      <c r="I9" s="467">
        <f>_xlfn.XLOOKUP(Tabla3[[#This Row],[Dynamics]],'Form C'!B:B,'Form C'!D:D,0,0)</f>
        <v/>
      </c>
      <c r="J9" s="467">
        <f>$H9*$I9</f>
        <v/>
      </c>
      <c r="K9" s="467">
        <f>_xlfn.XLOOKUP(Tabla3[[#This Row],[Plataforma]],'Form C'!E:E,'Form C'!F:F,0,0,1)</f>
        <v/>
      </c>
      <c r="L9" s="467">
        <f>J9+K9</f>
        <v/>
      </c>
      <c r="N9" s="41" t="n"/>
    </row>
    <row r="10">
      <c r="A10" s="18">
        <f>TODAY()</f>
        <v/>
      </c>
      <c r="B10" s="19" t="inlineStr">
        <is>
          <t xml:space="preserve">Costco </t>
        </is>
      </c>
      <c r="C10" s="38" t="n"/>
      <c r="D10" s="38" t="n"/>
      <c r="F10" s="27">
        <f>_xlfn.XLOOKUP(Tabla3[[#This Row],[Producto ]],'Form C'!A:A,'Form C'!B:B,1,0)</f>
        <v/>
      </c>
      <c r="H10" s="40" t="n"/>
      <c r="I10" s="467">
        <f>_xlfn.XLOOKUP(Tabla3[[#This Row],[Dynamics]],'Form C'!B:B,'Form C'!D:D,0,0)</f>
        <v/>
      </c>
      <c r="J10" s="467">
        <f>$H10*$I10</f>
        <v/>
      </c>
      <c r="K10" s="467">
        <f>_xlfn.XLOOKUP(Tabla3[[#This Row],[Plataforma]],'Form C'!E:E,'Form C'!F:F,0,0,1)</f>
        <v/>
      </c>
      <c r="L10" s="467">
        <f>J10+K10</f>
        <v/>
      </c>
      <c r="N10" s="41" t="n"/>
    </row>
    <row r="11">
      <c r="A11" s="18">
        <f>TODAY()</f>
        <v/>
      </c>
      <c r="B11" s="19" t="n"/>
      <c r="C11" s="19" t="n"/>
      <c r="D11" s="19" t="n"/>
      <c r="E11" s="19" t="n"/>
      <c r="F11" s="27">
        <f>_xlfn.XLOOKUP(Tabla3[[#This Row],[Producto ]],'Form C'!A:A,'Form C'!B:B,1,0)</f>
        <v/>
      </c>
      <c r="G11" s="42" t="n"/>
      <c r="H11" s="19" t="n"/>
      <c r="I11" s="467">
        <f>_xlfn.XLOOKUP(Tabla3[[#This Row],[Dynamics]],'Form C'!B:B,'Form C'!D:D,0,0)</f>
        <v/>
      </c>
      <c r="J11" s="467">
        <f>$H11*$I11</f>
        <v/>
      </c>
      <c r="K11" s="467">
        <f>_xlfn.XLOOKUP(Tabla3[[#This Row],[Plataforma]],'Form C'!E:E,'Form C'!F:F,0,0,1)</f>
        <v/>
      </c>
      <c r="L11" s="467">
        <f>J11+K11</f>
        <v/>
      </c>
      <c r="N11" s="41" t="n"/>
    </row>
    <row r="12">
      <c r="A12" s="18">
        <f>TODAY()</f>
        <v/>
      </c>
      <c r="B12" s="19" t="n"/>
      <c r="C12" s="19" t="n"/>
      <c r="D12" s="19" t="n"/>
      <c r="E12" s="19" t="n"/>
      <c r="F12" s="27">
        <f>_xlfn.XLOOKUP(Tabla3[[#This Row],[Producto ]],'Form C'!A:A,'Form C'!B:B,1,0)</f>
        <v/>
      </c>
      <c r="G12" s="42" t="n"/>
      <c r="H12" s="19" t="n"/>
      <c r="I12" s="467">
        <f>_xlfn.XLOOKUP(Tabla3[[#This Row],[Dynamics]],'Form C'!B:B,'Form C'!D:D,0,0)</f>
        <v/>
      </c>
      <c r="J12" s="467">
        <f>$H12*$I12</f>
        <v/>
      </c>
      <c r="K12" s="467">
        <f>_xlfn.XLOOKUP(Tabla3[[#This Row],[Plataforma]],'Form C'!E:E,'Form C'!F:F,0,0,1)</f>
        <v/>
      </c>
      <c r="L12" s="467">
        <f>J12+K12</f>
        <v/>
      </c>
      <c r="N12" s="41" t="n"/>
    </row>
    <row r="13">
      <c r="A13" s="18">
        <f>TODAY()</f>
        <v/>
      </c>
      <c r="B13" s="19" t="n"/>
      <c r="C13" s="19" t="n"/>
      <c r="D13" s="19" t="n"/>
      <c r="E13" s="19" t="n"/>
      <c r="F13" s="27">
        <f>_xlfn.XLOOKUP(Tabla3[[#This Row],[Producto ]],'Form C'!A:A,'Form C'!B:B,1,0)</f>
        <v/>
      </c>
      <c r="G13" s="42" t="n"/>
      <c r="H13" s="19" t="n"/>
      <c r="I13" s="467">
        <f>_xlfn.XLOOKUP(Tabla3[[#This Row],[Dynamics]],'Form C'!B:B,'Form C'!D:D,0,0)</f>
        <v/>
      </c>
      <c r="J13" s="467">
        <f>$H13*$I13</f>
        <v/>
      </c>
      <c r="K13" s="467">
        <f>_xlfn.XLOOKUP(Tabla3[[#This Row],[Plataforma]],'Form C'!E:E,'Form C'!F:F,0,0,1)</f>
        <v/>
      </c>
      <c r="L13" s="467">
        <f>J13+K13</f>
        <v/>
      </c>
      <c r="N13" s="41" t="n"/>
    </row>
    <row r="14">
      <c r="A14" s="18">
        <f>TODAY()</f>
        <v/>
      </c>
      <c r="B14" s="19" t="n"/>
      <c r="C14" s="19" t="n"/>
      <c r="D14" s="19" t="n"/>
      <c r="E14" s="19" t="n"/>
      <c r="F14" s="27">
        <f>_xlfn.XLOOKUP(Tabla3[[#This Row],[Producto ]],'Form C'!A:A,'Form C'!B:B,1,0)</f>
        <v/>
      </c>
      <c r="G14" s="42" t="n"/>
      <c r="H14" s="19" t="n"/>
      <c r="I14" s="467">
        <f>_xlfn.XLOOKUP(Tabla3[[#This Row],[Dynamics]],'Form C'!B:B,'Form C'!D:D,0,0)</f>
        <v/>
      </c>
      <c r="J14" s="467">
        <f>$H14*$I14</f>
        <v/>
      </c>
      <c r="K14" s="467">
        <f>_xlfn.XLOOKUP(Tabla3[[#This Row],[Plataforma]],'Form C'!E:E,'Form C'!F:F,0,0,1)</f>
        <v/>
      </c>
      <c r="L14" s="467">
        <f>J14+K14</f>
        <v/>
      </c>
      <c r="N14" s="41" t="n"/>
    </row>
    <row r="15">
      <c r="A15" s="18">
        <f>TODAY()</f>
        <v/>
      </c>
      <c r="B15" s="19" t="n"/>
      <c r="C15" s="19" t="n"/>
      <c r="D15" s="19" t="n"/>
      <c r="E15" s="19" t="n"/>
      <c r="F15" s="27">
        <f>_xlfn.XLOOKUP(Tabla3[[#This Row],[Producto ]],'Form C'!A:A,'Form C'!B:B,1,0)</f>
        <v/>
      </c>
      <c r="G15" s="42" t="n"/>
      <c r="H15" s="19" t="n"/>
      <c r="I15" s="467">
        <f>_xlfn.XLOOKUP(Tabla3[[#This Row],[Dynamics]],'Form C'!B:B,'Form C'!D:D,0,0)</f>
        <v/>
      </c>
      <c r="J15" s="467">
        <f>$H15*$I15</f>
        <v/>
      </c>
      <c r="K15" s="467">
        <f>_xlfn.XLOOKUP(Tabla3[[#This Row],[Plataforma]],'Form C'!E:E,'Form C'!F:F,0,0,1)</f>
        <v/>
      </c>
      <c r="L15" s="467">
        <f>J15+K15</f>
        <v/>
      </c>
      <c r="N15" s="41" t="n"/>
    </row>
    <row r="16">
      <c r="A16" s="18">
        <f>TODAY()</f>
        <v/>
      </c>
      <c r="B16" s="19" t="n"/>
      <c r="C16" s="19" t="n"/>
      <c r="D16" s="19" t="n"/>
      <c r="E16" s="19" t="n"/>
      <c r="F16" s="27">
        <f>_xlfn.XLOOKUP(Tabla3[[#This Row],[Producto ]],'Form C'!A:A,'Form C'!B:B,1,0)</f>
        <v/>
      </c>
      <c r="G16" s="42" t="n"/>
      <c r="H16" s="19" t="n"/>
      <c r="I16" s="467">
        <f>_xlfn.XLOOKUP(Tabla3[[#This Row],[Dynamics]],'Form C'!B:B,'Form C'!D:D,0,0)</f>
        <v/>
      </c>
      <c r="J16" s="467">
        <f>$H16*$I16</f>
        <v/>
      </c>
      <c r="K16" s="467">
        <f>_xlfn.XLOOKUP(Tabla3[[#This Row],[Plataforma]],'Form C'!E:E,'Form C'!F:F,0,0,1)</f>
        <v/>
      </c>
      <c r="L16" s="467">
        <f>J16+K16</f>
        <v/>
      </c>
      <c r="N16" s="41" t="n"/>
    </row>
    <row r="17">
      <c r="A17" s="18">
        <f>TODAY()</f>
        <v/>
      </c>
      <c r="B17" s="19" t="n"/>
      <c r="C17" s="19" t="n"/>
      <c r="D17" s="19" t="n"/>
      <c r="E17" s="19" t="n"/>
      <c r="F17" s="27">
        <f>_xlfn.XLOOKUP(Tabla3[[#This Row],[Producto ]],'Form C'!A:A,'Form C'!B:B,1,0)</f>
        <v/>
      </c>
      <c r="G17" s="42" t="n"/>
      <c r="H17" s="19" t="n"/>
      <c r="I17" s="467">
        <f>_xlfn.XLOOKUP(Tabla3[[#This Row],[Dynamics]],'Form C'!B:B,'Form C'!D:D,0,0)</f>
        <v/>
      </c>
      <c r="J17" s="467">
        <f>$H17*$I17</f>
        <v/>
      </c>
      <c r="K17" s="467">
        <f>_xlfn.XLOOKUP(Tabla3[[#This Row],[Plataforma]],'Form C'!E:E,'Form C'!F:F,0,0,1)</f>
        <v/>
      </c>
      <c r="L17" s="467">
        <f>J17+K17</f>
        <v/>
      </c>
      <c r="N17" s="41" t="n"/>
    </row>
    <row r="18">
      <c r="A18" s="18">
        <f>TODAY()</f>
        <v/>
      </c>
      <c r="B18" s="19" t="n"/>
      <c r="C18" s="19" t="n"/>
      <c r="D18" s="19" t="n"/>
      <c r="E18" s="19" t="n"/>
      <c r="F18" s="27">
        <f>_xlfn.XLOOKUP(Tabla3[[#This Row],[Producto ]],'Form C'!A:A,'Form C'!B:B,1,0)</f>
        <v/>
      </c>
      <c r="G18" s="42" t="n"/>
      <c r="H18" s="19" t="n"/>
      <c r="I18" s="467">
        <f>_xlfn.XLOOKUP(Tabla3[[#This Row],[Dynamics]],'Form C'!B:B,'Form C'!D:D,0,0)</f>
        <v/>
      </c>
      <c r="J18" s="467">
        <f>$H18*$I18</f>
        <v/>
      </c>
      <c r="K18" s="467">
        <f>_xlfn.XLOOKUP(Tabla3[[#This Row],[Plataforma]],'Form C'!E:E,'Form C'!F:F,0,0,1)</f>
        <v/>
      </c>
      <c r="L18" s="467">
        <f>J18+K18</f>
        <v/>
      </c>
      <c r="N18" s="41" t="n"/>
    </row>
    <row r="19">
      <c r="A19" s="18">
        <f>TODAY()</f>
        <v/>
      </c>
      <c r="B19" s="19" t="n"/>
      <c r="C19" s="19" t="n"/>
      <c r="D19" s="19" t="n"/>
      <c r="E19" s="19" t="n"/>
      <c r="F19" s="27">
        <f>_xlfn.XLOOKUP(Tabla3[[#This Row],[Producto ]],'Form C'!A:A,'Form C'!B:B,1,0)</f>
        <v/>
      </c>
      <c r="G19" s="42" t="n"/>
      <c r="H19" s="19" t="n"/>
      <c r="I19" s="467">
        <f>_xlfn.XLOOKUP(Tabla3[[#This Row],[Dynamics]],'Form C'!B:B,'Form C'!D:D,0,0)</f>
        <v/>
      </c>
      <c r="J19" s="467">
        <f>$H19*$I19</f>
        <v/>
      </c>
      <c r="K19" s="467">
        <f>_xlfn.XLOOKUP(Tabla3[[#This Row],[Plataforma]],'Form C'!E:E,'Form C'!F:F,0,0,1)</f>
        <v/>
      </c>
      <c r="L19" s="467">
        <f>J19+K19</f>
        <v/>
      </c>
      <c r="N19" s="41" t="n"/>
    </row>
    <row r="20">
      <c r="A20" s="18">
        <f>TODAY()</f>
        <v/>
      </c>
      <c r="B20" s="19" t="n"/>
      <c r="C20" s="19" t="n"/>
      <c r="D20" s="19" t="n"/>
      <c r="E20" s="19" t="n"/>
      <c r="F20" s="27">
        <f>_xlfn.XLOOKUP(Tabla3[[#This Row],[Producto ]],'Form C'!A:A,'Form C'!B:B,1,0)</f>
        <v/>
      </c>
      <c r="G20" s="42" t="n"/>
      <c r="H20" s="19" t="n"/>
      <c r="I20" s="467">
        <f>_xlfn.XLOOKUP(Tabla3[[#This Row],[Dynamics]],'Form C'!B:B,'Form C'!D:D,0,0)</f>
        <v/>
      </c>
      <c r="J20" s="467">
        <f>$H20*$I20</f>
        <v/>
      </c>
      <c r="K20" s="467">
        <f>_xlfn.XLOOKUP(Tabla3[[#This Row],[Plataforma]],'Form C'!E:E,'Form C'!F:F,0,0,1)</f>
        <v/>
      </c>
      <c r="L20" s="467">
        <f>J20+K20</f>
        <v/>
      </c>
      <c r="N20" s="41" t="n"/>
    </row>
    <row r="21">
      <c r="A21" s="18">
        <f>TODAY()</f>
        <v/>
      </c>
      <c r="B21" s="19" t="n"/>
      <c r="C21" s="19" t="n"/>
      <c r="D21" s="19" t="n"/>
      <c r="E21" s="19" t="n"/>
      <c r="F21" s="27">
        <f>_xlfn.XLOOKUP(Tabla3[[#This Row],[Producto ]],'Form C'!A:A,'Form C'!B:B,1,0)</f>
        <v/>
      </c>
      <c r="G21" s="42" t="n"/>
      <c r="H21" s="19" t="n"/>
      <c r="I21" s="467">
        <f>_xlfn.XLOOKUP(Tabla3[[#This Row],[Dynamics]],'Form C'!B:B,'Form C'!D:D,0,0)</f>
        <v/>
      </c>
      <c r="J21" s="467">
        <f>$H21*$I21</f>
        <v/>
      </c>
      <c r="K21" s="467">
        <f>_xlfn.XLOOKUP(Tabla3[[#This Row],[Plataforma]],'Form C'!E:E,'Form C'!F:F,0,0,1)</f>
        <v/>
      </c>
      <c r="L21" s="467">
        <f>J21+K21</f>
        <v/>
      </c>
      <c r="N21" s="41" t="n"/>
    </row>
    <row r="22">
      <c r="H22" s="3" t="n"/>
    </row>
    <row r="23">
      <c r="H23" s="3" t="n"/>
    </row>
    <row r="24">
      <c r="H24" s="3" t="n"/>
    </row>
    <row r="25">
      <c r="H25" s="3" t="n"/>
    </row>
    <row r="26">
      <c r="H26" s="3" t="n"/>
    </row>
    <row r="27">
      <c r="H27" s="3" t="n"/>
    </row>
    <row r="28">
      <c r="H28" s="3" t="n"/>
    </row>
    <row r="29">
      <c r="H29" s="3" t="n"/>
    </row>
    <row r="30">
      <c r="H30" s="3" t="n"/>
    </row>
    <row r="31">
      <c r="H31" s="3" t="n"/>
    </row>
    <row r="32">
      <c r="H32" s="3" t="n"/>
    </row>
    <row r="33">
      <c r="H33" s="3" t="n"/>
    </row>
    <row r="34">
      <c r="H34" s="3" t="n"/>
    </row>
    <row r="35">
      <c r="H35" s="3" t="n"/>
    </row>
    <row r="36">
      <c r="H36" s="3" t="n"/>
    </row>
    <row r="37">
      <c r="H37" s="3" t="n"/>
    </row>
    <row r="38">
      <c r="H38" s="3" t="n"/>
    </row>
    <row r="39">
      <c r="H39" s="3" t="n"/>
    </row>
    <row r="40">
      <c r="H40" s="3" t="n"/>
    </row>
    <row r="41">
      <c r="H41" s="3" t="n"/>
    </row>
    <row r="42">
      <c r="H42" s="3" t="n"/>
    </row>
    <row r="43">
      <c r="H43" s="3" t="n"/>
    </row>
    <row r="44">
      <c r="H44" s="3" t="n"/>
    </row>
    <row r="45">
      <c r="H45" s="3" t="n"/>
    </row>
    <row r="46">
      <c r="H46" s="3" t="n"/>
    </row>
    <row r="47">
      <c r="H47" s="3" t="n"/>
    </row>
    <row r="48">
      <c r="H48" s="3" t="n"/>
    </row>
    <row r="49">
      <c r="H49" s="3" t="n"/>
    </row>
    <row r="50">
      <c r="H50" s="3" t="n"/>
    </row>
    <row r="51">
      <c r="H51" s="3" t="n"/>
    </row>
    <row r="52">
      <c r="H52" s="3" t="n"/>
    </row>
    <row r="53">
      <c r="H53" s="3" t="n"/>
    </row>
    <row r="54">
      <c r="H54" s="3" t="n"/>
    </row>
    <row r="55">
      <c r="H55" s="3" t="n"/>
    </row>
    <row r="56">
      <c r="H56" s="3" t="n"/>
    </row>
    <row r="57">
      <c r="H57" s="3" t="n"/>
    </row>
    <row r="58">
      <c r="H58" s="3" t="n"/>
    </row>
    <row r="59">
      <c r="H59" s="3" t="n"/>
    </row>
    <row r="60">
      <c r="H60" s="3" t="n"/>
    </row>
    <row r="61">
      <c r="H61" s="3" t="n"/>
    </row>
    <row r="62">
      <c r="H62" s="3" t="n"/>
    </row>
    <row r="63">
      <c r="H63" s="3" t="n"/>
    </row>
    <row r="64">
      <c r="H64" s="3" t="n"/>
    </row>
    <row r="65">
      <c r="H65" s="3" t="n"/>
    </row>
    <row r="66">
      <c r="H66" s="3" t="n"/>
    </row>
    <row r="67">
      <c r="H67" s="3" t="n"/>
    </row>
    <row r="68">
      <c r="H68" s="3" t="n"/>
    </row>
    <row r="69">
      <c r="H69" s="3" t="n"/>
    </row>
    <row r="70">
      <c r="H70" s="3" t="n"/>
    </row>
    <row r="71">
      <c r="H71" s="3" t="n"/>
    </row>
    <row r="72">
      <c r="H72" s="3" t="n"/>
    </row>
    <row r="73">
      <c r="H73" s="3" t="n"/>
    </row>
    <row r="74">
      <c r="H74" s="3" t="n"/>
    </row>
    <row r="75">
      <c r="H75" s="3" t="n"/>
    </row>
    <row r="76">
      <c r="H76" s="3" t="n"/>
    </row>
    <row r="77">
      <c r="H77" s="3" t="n"/>
    </row>
    <row r="78">
      <c r="H78" s="3" t="n"/>
    </row>
    <row r="79">
      <c r="H79" s="3" t="n"/>
    </row>
    <row r="80">
      <c r="H80" s="3" t="n"/>
    </row>
    <row r="81">
      <c r="H81" s="3" t="n"/>
    </row>
    <row r="82">
      <c r="H82" s="3" t="n"/>
    </row>
    <row r="83">
      <c r="H83" s="3" t="n"/>
    </row>
    <row r="84">
      <c r="H84" s="3" t="n"/>
    </row>
    <row r="85">
      <c r="H85" s="3" t="n"/>
    </row>
    <row r="86">
      <c r="H86" s="3" t="n"/>
    </row>
    <row r="87">
      <c r="H87" s="3" t="n"/>
    </row>
    <row r="88">
      <c r="H88" s="3" t="n"/>
    </row>
    <row r="89">
      <c r="H89" s="3" t="n"/>
    </row>
    <row r="90">
      <c r="H90" s="3" t="n"/>
    </row>
    <row r="91">
      <c r="H91" s="3" t="n"/>
    </row>
    <row r="92">
      <c r="H92" s="3" t="n"/>
    </row>
    <row r="93">
      <c r="H93" s="3" t="n"/>
    </row>
    <row r="94">
      <c r="H94" s="3" t="n"/>
    </row>
    <row r="95">
      <c r="H95" s="3" t="n"/>
    </row>
    <row r="96">
      <c r="H96" s="3" t="n"/>
    </row>
    <row r="97">
      <c r="H97" s="3" t="n"/>
    </row>
    <row r="98">
      <c r="H98" s="3" t="n"/>
    </row>
    <row r="99">
      <c r="H99" s="3" t="n"/>
    </row>
    <row r="100">
      <c r="H100" s="3" t="n"/>
    </row>
    <row r="101">
      <c r="H101" s="3" t="n"/>
    </row>
    <row r="102">
      <c r="H102" s="3" t="n"/>
    </row>
    <row r="103">
      <c r="H103" s="3" t="n"/>
    </row>
    <row r="104">
      <c r="H104" s="3" t="n"/>
    </row>
    <row r="105">
      <c r="H105" s="3" t="n"/>
    </row>
    <row r="106">
      <c r="H106" s="3" t="n"/>
    </row>
    <row r="107">
      <c r="H107" s="3" t="n"/>
    </row>
    <row r="108">
      <c r="H108" s="3" t="n"/>
    </row>
    <row r="109">
      <c r="H109" s="3" t="n"/>
    </row>
    <row r="110">
      <c r="H110" s="3" t="n"/>
    </row>
    <row r="111">
      <c r="H111" s="3" t="n"/>
    </row>
    <row r="112">
      <c r="H112" s="3" t="n"/>
    </row>
    <row r="113">
      <c r="H113" s="3" t="n"/>
    </row>
    <row r="114">
      <c r="H114" s="3" t="n"/>
    </row>
    <row r="115">
      <c r="H115" s="3" t="n"/>
    </row>
    <row r="116">
      <c r="H116" s="3" t="n"/>
    </row>
    <row r="117">
      <c r="H117" s="3" t="n"/>
    </row>
    <row r="118">
      <c r="H118" s="3" t="n"/>
    </row>
  </sheetData>
  <dataValidations count="1">
    <dataValidation sqref="K2:K21" showDropDown="0" showInputMessage="1" showErrorMessage="1" allowBlank="1" errorTitle="SIN COSTO ENVÍO" error="COSTCO NUNCA LLEVA COSTO DE ENVÍO" promptTitle="NO LLEVA COSTO DE ENVÍO" type="whole" operator="equal">
      <formula1>0</formula1>
    </dataValidation>
  </dataValidations>
  <pageMargins left="0.7" right="0.7" top="0.75" bottom="0.75" header="0.3" footer="0.3"/>
  <pageSetup orientation="portrait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theme="0" tint="-0.249977111117893"/>
    <outlinePr summaryBelow="1" summaryRight="1"/>
    <pageSetUpPr/>
  </sheetPr>
  <dimension ref="A1:F20"/>
  <sheetViews>
    <sheetView showGridLines="0" workbookViewId="0">
      <selection activeCell="D5" sqref="D5"/>
    </sheetView>
  </sheetViews>
  <sheetFormatPr baseColWidth="10" defaultColWidth="11.54296875" defaultRowHeight="14.5"/>
  <cols>
    <col width="33.453125" customWidth="1" style="6" min="1" max="1"/>
    <col width="16.453125" customWidth="1" style="8" min="2" max="2"/>
    <col width="12.81640625" customWidth="1" style="466" min="3" max="3"/>
    <col width="19.453125" bestFit="1" customWidth="1" style="6" min="4" max="4"/>
    <col width="11.54296875" customWidth="1" style="6" min="5" max="16384"/>
  </cols>
  <sheetData>
    <row r="1" ht="16.15" customHeight="1">
      <c r="A1" s="9" t="inlineStr">
        <is>
          <t>Plataforma</t>
        </is>
      </c>
      <c r="B1" s="10" t="inlineStr">
        <is>
          <t>Código</t>
        </is>
      </c>
      <c r="C1" s="469" t="inlineStr">
        <is>
          <t>Precio</t>
        </is>
      </c>
      <c r="D1" s="470" t="inlineStr">
        <is>
          <t>Precio actualizado</t>
        </is>
      </c>
    </row>
    <row r="2" ht="15.5" customHeight="1">
      <c r="A2" s="16" t="inlineStr">
        <is>
          <t xml:space="preserve">Costco </t>
        </is>
      </c>
      <c r="B2" s="16" t="n"/>
      <c r="C2" s="16" t="n"/>
      <c r="D2" s="43" t="n"/>
      <c r="E2" s="6" t="inlineStr">
        <is>
          <t>costco</t>
        </is>
      </c>
      <c r="F2" s="466" t="n">
        <v>0</v>
      </c>
    </row>
    <row r="3">
      <c r="A3" t="inlineStr">
        <is>
          <t>JustFx 120 Capsulas</t>
        </is>
      </c>
      <c r="B3" s="12" t="inlineStr">
        <is>
          <t>503635000705</t>
        </is>
      </c>
      <c r="C3" s="463" t="n">
        <v>308.89</v>
      </c>
      <c r="D3" s="466" t="n">
        <v>337.46</v>
      </c>
      <c r="E3" s="471">
        <f>D3-C3-1</f>
        <v/>
      </c>
    </row>
    <row r="4">
      <c r="A4" t="inlineStr">
        <is>
          <t>JustBio H 110 Gomitas</t>
        </is>
      </c>
      <c r="B4" s="12" t="inlineStr">
        <is>
          <t>503635001600</t>
        </is>
      </c>
      <c r="C4" s="463" t="n">
        <v>252.25</v>
      </c>
      <c r="D4" s="466" t="n">
        <v>278.27</v>
      </c>
      <c r="E4" s="471">
        <f>D4-C4-1</f>
        <v/>
      </c>
    </row>
    <row r="5">
      <c r="A5" t="inlineStr">
        <is>
          <t>JustCollagen 180 Tabletas</t>
        </is>
      </c>
      <c r="B5" s="12" t="inlineStr">
        <is>
          <t>503635002600</t>
        </is>
      </c>
      <c r="C5" s="463" t="n">
        <v>225.22</v>
      </c>
      <c r="D5" s="466" t="n">
        <v>248.45</v>
      </c>
      <c r="E5" s="471">
        <f>D5-C5-1</f>
        <v/>
      </c>
    </row>
    <row r="6">
      <c r="A6" t="inlineStr">
        <is>
          <t>Justcetrux 180 Tabs Vitamina C Olnatura</t>
        </is>
      </c>
      <c r="B6" s="14" t="inlineStr">
        <is>
          <t>503635003900</t>
        </is>
      </c>
      <c r="C6" s="463" t="n">
        <v>167.38</v>
      </c>
      <c r="D6" s="466" t="n">
        <v>133</v>
      </c>
      <c r="E6" s="471">
        <f>D6-C6-1</f>
        <v/>
      </c>
    </row>
    <row r="7">
      <c r="A7" t="inlineStr">
        <is>
          <t>TN Probióticos 180 Caps</t>
        </is>
      </c>
      <c r="B7" s="12" t="inlineStr">
        <is>
          <t>503635001402</t>
        </is>
      </c>
      <c r="C7" s="463" t="n">
        <v>281.38</v>
      </c>
      <c r="D7" s="466" t="n">
        <v>332.92</v>
      </c>
      <c r="E7" s="471">
        <f>D7-C7-1</f>
        <v/>
      </c>
    </row>
    <row r="8">
      <c r="A8" t="inlineStr">
        <is>
          <t>Colágeno Tipo II 90 Cápsulas</t>
        </is>
      </c>
      <c r="B8" s="12" t="inlineStr">
        <is>
          <t>503635000606</t>
        </is>
      </c>
      <c r="C8" s="463" t="n">
        <v>682.24</v>
      </c>
      <c r="D8" s="466" t="n">
        <v>682.24</v>
      </c>
      <c r="E8" s="471">
        <f>D8-C8-1</f>
        <v/>
      </c>
    </row>
    <row r="9">
      <c r="A9" t="inlineStr">
        <is>
          <t>JustBiotics 110 Gomitas Probioticos</t>
        </is>
      </c>
      <c r="B9" s="14" t="inlineStr">
        <is>
          <t>503635002000</t>
        </is>
      </c>
      <c r="C9" s="463" t="n">
        <v>231.02</v>
      </c>
      <c r="D9" s="466" t="n">
        <v>254.86</v>
      </c>
      <c r="E9" s="471">
        <f>D9-C9-1</f>
        <v/>
      </c>
    </row>
    <row r="10">
      <c r="A10" t="inlineStr">
        <is>
          <t>Glucosamina + Condroitina</t>
        </is>
      </c>
      <c r="B10" s="12" t="inlineStr">
        <is>
          <t>503635000300</t>
        </is>
      </c>
      <c r="C10" s="463" t="n">
        <v>555.3200000000001</v>
      </c>
      <c r="D10" s="466" t="n">
        <v>633.97</v>
      </c>
      <c r="E10" s="471">
        <f>D10-C10-1</f>
        <v/>
      </c>
    </row>
    <row r="11" customFormat="1" s="35">
      <c r="A11" s="32" t="inlineStr">
        <is>
          <t>Justvika 120 Caps</t>
        </is>
      </c>
      <c r="B11" s="33" t="inlineStr">
        <is>
          <t>503635002300</t>
        </is>
      </c>
      <c r="C11" s="472" t="n">
        <v>161.04</v>
      </c>
    </row>
    <row r="12">
      <c r="B12" s="15" t="n"/>
      <c r="C12" s="463" t="n"/>
    </row>
    <row r="13">
      <c r="B13" s="15" t="n"/>
      <c r="C13" s="463" t="n"/>
    </row>
    <row r="14">
      <c r="B14" s="15" t="n"/>
      <c r="C14" s="463" t="n"/>
    </row>
    <row r="15">
      <c r="B15" s="15" t="n"/>
      <c r="C15" s="463" t="n"/>
    </row>
    <row r="16">
      <c r="B16" s="15" t="n"/>
      <c r="C16" s="463" t="n"/>
    </row>
    <row r="17">
      <c r="B17" s="15" t="n"/>
      <c r="C17" s="463" t="n"/>
    </row>
    <row r="18">
      <c r="B18" s="15" t="n"/>
      <c r="C18" s="463" t="n"/>
    </row>
    <row r="19">
      <c r="B19" s="15" t="n"/>
      <c r="C19" s="463" t="n"/>
    </row>
    <row r="20">
      <c r="B20" s="15" t="n"/>
      <c r="C20" s="463" t="n"/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77l0tt1MrN5xQ8NuBDNHAg==" formatRows="0" sort="0" spinCount="100000" hashValue="dEU/y0wXhU6xalgyOVC9R4DSqli8GXtQQJSNN1+3H7Lq58OKBfXcXWo7Z4CTM3CQu2n02loPXwn/sQlmF8y0AQ==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76B531"/>
    <outlinePr summaryBelow="1" summaryRight="1"/>
    <pageSetUpPr/>
  </sheetPr>
  <dimension ref="A1:S48"/>
  <sheetViews>
    <sheetView showGridLines="0" tabSelected="1" zoomScale="60" zoomScaleNormal="60" workbookViewId="0">
      <selection activeCell="G36" sqref="G36"/>
    </sheetView>
  </sheetViews>
  <sheetFormatPr baseColWidth="10" defaultColWidth="9.453125" defaultRowHeight="13.5" customHeight="1"/>
  <cols>
    <col width="13.1796875" customWidth="1" style="358" min="1" max="1"/>
    <col width="15.453125" customWidth="1" style="167" min="2" max="2"/>
    <col hidden="1" width="23.54296875" customWidth="1" style="167" min="3" max="3"/>
    <col width="27.1796875" customWidth="1" style="167" min="4" max="4"/>
    <col width="19.54296875" bestFit="1" customWidth="1" style="167" min="5" max="5"/>
    <col hidden="1" width="10.54296875" customWidth="1" style="359" min="6" max="6"/>
    <col width="29.54296875" customWidth="1" style="349" min="7" max="7"/>
    <col width="16.453125" customWidth="1" style="167" min="8" max="8"/>
    <col hidden="1" width="87.54296875" customWidth="1" style="167" min="9" max="9"/>
    <col width="46.54296875" customWidth="1" style="167" min="10" max="10"/>
    <col width="12.453125" customWidth="1" style="167" min="11" max="11"/>
    <col hidden="1" width="2.453125" customWidth="1" style="167" min="12" max="12"/>
    <col width="10.26953125" customWidth="1" style="342" min="13" max="13"/>
    <col width="12.26953125" customWidth="1" style="473" min="14" max="14"/>
    <col hidden="1" width="16.81640625" customWidth="1" style="473" min="15" max="15"/>
    <col width="12.54296875" customWidth="1" style="167" min="16" max="16"/>
    <col width="18.453125" customWidth="1" style="167" min="17" max="17"/>
    <col width="25.453125" customWidth="1" style="167" min="18" max="18"/>
    <col hidden="1" width="13.26953125" customWidth="1" style="352" min="19" max="19"/>
    <col width="9.453125" customWidth="1" style="167" min="20" max="16384"/>
  </cols>
  <sheetData>
    <row r="1" ht="13.5" customFormat="1" customHeight="1" s="345">
      <c r="A1" s="353" t="inlineStr">
        <is>
          <t>Fecha</t>
        </is>
      </c>
      <c r="B1" s="354" t="inlineStr">
        <is>
          <t>Mercado Libre</t>
        </is>
      </c>
      <c r="C1" s="354" t="inlineStr">
        <is>
          <t>Columna1</t>
        </is>
      </c>
      <c r="D1" s="345" t="inlineStr">
        <is>
          <t>Fecha de compra</t>
        </is>
      </c>
      <c r="E1" s="345" t="inlineStr">
        <is>
          <t>N° venta</t>
        </is>
      </c>
      <c r="F1" s="355" t="inlineStr">
        <is>
          <t xml:space="preserve"> Orden</t>
        </is>
      </c>
      <c r="G1" s="345" t="inlineStr">
        <is>
          <t>Cliente</t>
        </is>
      </c>
      <c r="H1" s="345" t="inlineStr">
        <is>
          <t>Dynamics</t>
        </is>
      </c>
      <c r="I1" s="165" t="inlineStr">
        <is>
          <t>Título de la publicación</t>
        </is>
      </c>
      <c r="J1" s="232" t="inlineStr">
        <is>
          <t>Producto</t>
        </is>
      </c>
      <c r="K1" s="346" t="inlineStr">
        <is>
          <t>Cantidad</t>
        </is>
      </c>
      <c r="L1" s="345" t="inlineStr">
        <is>
          <t>Costo exc</t>
        </is>
      </c>
      <c r="M1" s="362" t="inlineStr">
        <is>
          <t xml:space="preserve">Costo </t>
        </is>
      </c>
      <c r="N1" s="474" t="inlineStr">
        <is>
          <t>Subtotal</t>
        </is>
      </c>
      <c r="O1" s="474" t="inlineStr">
        <is>
          <t>Envío</t>
        </is>
      </c>
      <c r="P1" s="474" t="inlineStr">
        <is>
          <t>Total</t>
        </is>
      </c>
      <c r="Q1" s="347" t="inlineStr">
        <is>
          <t>Orden de venta</t>
        </is>
      </c>
      <c r="R1" s="345" t="inlineStr">
        <is>
          <t>Guía</t>
        </is>
      </c>
      <c r="S1" s="341" t="inlineStr">
        <is>
          <t>DESCUENTO</t>
        </is>
      </c>
    </row>
    <row r="2" ht="13.5" customHeight="1">
      <c r="A2" s="363" t="inlineStr">
        <is>
          <t>28 de mayo de 2026 23:30 hs.</t>
        </is>
      </c>
      <c r="B2" s="354" t="inlineStr">
        <is>
          <t>Mercado Libre</t>
        </is>
      </c>
      <c r="C2" s="354" t="n"/>
      <c r="D2" s="363" t="inlineStr">
        <is>
          <t>28 de mayo de 2026 23:30 hs.</t>
        </is>
      </c>
      <c r="E2" s="376" t="inlineStr">
        <is>
          <t>2000013227330657</t>
        </is>
      </c>
      <c r="F2" s="365" t="n"/>
      <c r="G2" s="363" t="inlineStr">
        <is>
          <t>Arturo Castellanos</t>
        </is>
      </c>
      <c r="H2" s="348">
        <f>+_xlfn.XLOOKUP(Tabla4[[#This Row],[Título de la publicación]],ML!C:C,ML!A:A,1,0,1)</f>
        <v/>
      </c>
      <c r="I2" s="363" t="inlineStr">
        <is>
          <t>Isoflavonas Olnatura Just 90 Tabletas</t>
        </is>
      </c>
      <c r="J2" s="349">
        <f>+_xlfn.XLOOKUP(Tabla4[[#This Row],[Dynamics]],ML!A:A,ML!B:B,1,0,1)</f>
        <v/>
      </c>
      <c r="K2" s="364" t="n">
        <v>1</v>
      </c>
      <c r="L2" s="350" t="n"/>
      <c r="M2" s="337">
        <f>+_xlfn.XLOOKUP(Tabla4[[#This Row],[Dynamics]],ML!A:A,ML!E:E,1,0,1)</f>
        <v/>
      </c>
      <c r="N2" s="475">
        <f>Tabla4[[#This Row],[Cantidad]]*Tabla4[[#This Row],[Costo ]]</f>
        <v/>
      </c>
      <c r="O2" s="476" t="n"/>
      <c r="P2" s="475">
        <f>Tabla4[[#This Row],[Subtotal]]+Tabla4[[#This Row],[Envío]]</f>
        <v/>
      </c>
      <c r="Q2" s="378" t="inlineStr">
        <is>
          <t>OV0028020</t>
        </is>
      </c>
      <c r="R2" s="363" t="inlineStr">
        <is>
          <t>MEL47173044627FMXDF01</t>
        </is>
      </c>
      <c r="S2" s="344" t="n"/>
    </row>
    <row r="3" ht="13.5" customHeight="1">
      <c r="A3" s="363" t="inlineStr">
        <is>
          <t>28 de mayo de 2026 20:27 hs.</t>
        </is>
      </c>
      <c r="B3" s="354" t="inlineStr">
        <is>
          <t>Mercado Libre</t>
        </is>
      </c>
      <c r="C3" s="354" t="n"/>
      <c r="D3" s="363" t="inlineStr">
        <is>
          <t>28 de mayo de 2026 20:27 hs.</t>
        </is>
      </c>
      <c r="E3" s="376" t="inlineStr">
        <is>
          <t>2000013225451755</t>
        </is>
      </c>
      <c r="F3" s="365" t="n"/>
      <c r="G3" s="363" t="inlineStr">
        <is>
          <t>Raquel Gleason</t>
        </is>
      </c>
      <c r="H3" s="348">
        <f>+_xlfn.XLOOKUP(Tabla4[[#This Row],[Título de la publicación]],ML!C:C,ML!A:A,1,0,1)</f>
        <v/>
      </c>
      <c r="I3" s="363" t="inlineStr">
        <is>
          <t>Just Omega 3 120 Gomitas Olnatura Mandarina</t>
        </is>
      </c>
      <c r="J3" s="349">
        <f>+_xlfn.XLOOKUP(Tabla4[[#This Row],[Dynamics]],ML!A:A,ML!B:B,1,0,1)</f>
        <v/>
      </c>
      <c r="K3" s="364" t="n">
        <v>1</v>
      </c>
      <c r="L3" s="350" t="n"/>
      <c r="M3" s="337">
        <f>+_xlfn.XLOOKUP(Tabla4[[#This Row],[Dynamics]],ML!A:A,ML!E:E,1,0,1)</f>
        <v/>
      </c>
      <c r="N3" s="475">
        <f>Tabla4[[#This Row],[Cantidad]]*Tabla4[[#This Row],[Costo ]]</f>
        <v/>
      </c>
      <c r="O3" s="476" t="n"/>
      <c r="P3" s="475">
        <f>Tabla4[[#This Row],[Subtotal]]+Tabla4[[#This Row],[Envío]]</f>
        <v/>
      </c>
      <c r="Q3" s="378" t="inlineStr">
        <is>
          <t>OV0028020</t>
        </is>
      </c>
      <c r="R3" s="363" t="inlineStr">
        <is>
          <t>MEL47172330443FMXDF01</t>
        </is>
      </c>
      <c r="S3" s="344" t="n"/>
    </row>
    <row r="4" ht="13.5" customHeight="1">
      <c r="A4" s="363" t="inlineStr">
        <is>
          <t>28 de mayo de 2026 19:11 hs.</t>
        </is>
      </c>
      <c r="B4" s="354" t="inlineStr">
        <is>
          <t>Mercado Libre</t>
        </is>
      </c>
      <c r="C4" s="354" t="n"/>
      <c r="D4" s="363" t="inlineStr">
        <is>
          <t>28 de mayo de 2026 19:11 hs.</t>
        </is>
      </c>
      <c r="E4" s="376" t="inlineStr">
        <is>
          <t>2000013224315483</t>
        </is>
      </c>
      <c r="F4" s="365" t="n"/>
      <c r="G4" s="363" t="inlineStr">
        <is>
          <t>María Guadalupe Esther Crispín</t>
        </is>
      </c>
      <c r="H4" s="348">
        <f>+_xlfn.XLOOKUP(Tabla4[[#This Row],[Título de la publicación]],ML!C:C,ML!A:A,1,0,1)</f>
        <v/>
      </c>
      <c r="I4" s="363" t="inlineStr">
        <is>
          <t>Olnatura Just Colágeno Hidrolizado + Biotina 120 Gomitas Frutos Rojos</t>
        </is>
      </c>
      <c r="J4" s="349">
        <f>+_xlfn.XLOOKUP(Tabla4[[#This Row],[Dynamics]],ML!A:A,ML!B:B,1,0,1)</f>
        <v/>
      </c>
      <c r="K4" s="364" t="n">
        <v>1</v>
      </c>
      <c r="L4" s="350" t="n"/>
      <c r="M4" s="337">
        <f>+_xlfn.XLOOKUP(Tabla4[[#This Row],[Dynamics]],ML!A:A,ML!E:E,1,0,1)</f>
        <v/>
      </c>
      <c r="N4" s="475">
        <f>Tabla4[[#This Row],[Cantidad]]*Tabla4[[#This Row],[Costo ]]</f>
        <v/>
      </c>
      <c r="O4" s="476" t="n"/>
      <c r="P4" s="475">
        <f>Tabla4[[#This Row],[Subtotal]]+Tabla4[[#This Row],[Envío]]</f>
        <v/>
      </c>
      <c r="Q4" s="378" t="inlineStr">
        <is>
          <t>OV0028020</t>
        </is>
      </c>
      <c r="R4" s="363" t="inlineStr">
        <is>
          <t>MEL47172134426FMXDF01</t>
        </is>
      </c>
      <c r="S4" s="344" t="n"/>
    </row>
    <row r="5" ht="13.5" customHeight="1">
      <c r="A5" s="363" t="inlineStr">
        <is>
          <t>28 de mayo de 2026 18:51 hs.</t>
        </is>
      </c>
      <c r="B5" s="354" t="inlineStr">
        <is>
          <t>Mercado Libre</t>
        </is>
      </c>
      <c r="C5" s="354" t="n"/>
      <c r="D5" s="363" t="inlineStr">
        <is>
          <t>28 de mayo de 2026 18:51 hs.</t>
        </is>
      </c>
      <c r="E5" s="376" t="inlineStr">
        <is>
          <t>2000013223965573</t>
        </is>
      </c>
      <c r="F5" s="365" t="n"/>
      <c r="G5" s="363" t="inlineStr">
        <is>
          <t>Esteban Lazo</t>
        </is>
      </c>
      <c r="H5" s="348">
        <f>+_xlfn.XLOOKUP(Tabla4[[#This Row],[Título de la publicación]],ML!C:C,ML!A:A,1,0,1)</f>
        <v/>
      </c>
      <c r="I5" s="363" t="inlineStr">
        <is>
          <t>Colágeno Tipo 2 Premium. Sin Desnaturalizar 30 Cápsulas Olnatura Just Natural</t>
        </is>
      </c>
      <c r="J5" s="349">
        <f>+_xlfn.XLOOKUP(Tabla4[[#This Row],[Dynamics]],ML!A:A,ML!B:B,1,0,1)</f>
        <v/>
      </c>
      <c r="K5" s="364" t="n">
        <v>2</v>
      </c>
      <c r="L5" s="350" t="n"/>
      <c r="M5" s="337">
        <f>+_xlfn.XLOOKUP(Tabla4[[#This Row],[Dynamics]],ML!A:A,ML!E:E,1,0,1)</f>
        <v/>
      </c>
      <c r="N5" s="475">
        <f>Tabla4[[#This Row],[Cantidad]]*Tabla4[[#This Row],[Costo ]]</f>
        <v/>
      </c>
      <c r="O5" s="476" t="n"/>
      <c r="P5" s="475">
        <f>Tabla4[[#This Row],[Subtotal]]+Tabla4[[#This Row],[Envío]]</f>
        <v/>
      </c>
      <c r="Q5" s="378" t="inlineStr">
        <is>
          <t>OV0028020</t>
        </is>
      </c>
      <c r="R5" s="363" t="inlineStr">
        <is>
          <t>MEL47171711373FMXDF01</t>
        </is>
      </c>
      <c r="S5" s="344" t="n"/>
    </row>
    <row r="6" ht="13.5" customHeight="1">
      <c r="A6" s="363" t="inlineStr">
        <is>
          <t>28 de mayo de 2026 18:49 hs.</t>
        </is>
      </c>
      <c r="B6" s="354" t="inlineStr">
        <is>
          <t>Mercado Libre</t>
        </is>
      </c>
      <c r="C6" s="354" t="n"/>
      <c r="D6" s="363" t="inlineStr">
        <is>
          <t>28 de mayo de 2026 18:49 hs.</t>
        </is>
      </c>
      <c r="E6" s="376" t="inlineStr">
        <is>
          <t>2000013223948613</t>
        </is>
      </c>
      <c r="F6" s="365" t="n"/>
      <c r="G6" s="363" t="inlineStr">
        <is>
          <t>Oliva Perez</t>
        </is>
      </c>
      <c r="H6" s="348">
        <f>+_xlfn.XLOOKUP(Tabla4[[#This Row],[Título de la publicación]],ML!C:C,ML!A:A,1,0,1)</f>
        <v/>
      </c>
      <c r="I6" s="363" t="inlineStr">
        <is>
          <t>Colágeno Tipo 2 Premium. Sin Desnaturalizar 90 Cápsulas Olnatura Just Natural</t>
        </is>
      </c>
      <c r="J6" s="349">
        <f>+_xlfn.XLOOKUP(Tabla4[[#This Row],[Dynamics]],ML!A:A,ML!B:B,1,0,1)</f>
        <v/>
      </c>
      <c r="K6" s="364" t="n">
        <v>1</v>
      </c>
      <c r="L6" s="350" t="n"/>
      <c r="M6" s="337">
        <f>+_xlfn.XLOOKUP(Tabla4[[#This Row],[Dynamics]],ML!A:A,ML!E:E,1,0,1)</f>
        <v/>
      </c>
      <c r="N6" s="475">
        <f>Tabla4[[#This Row],[Cantidad]]*Tabla4[[#This Row],[Costo ]]</f>
        <v/>
      </c>
      <c r="O6" s="476" t="n"/>
      <c r="P6" s="475">
        <f>Tabla4[[#This Row],[Subtotal]]+Tabla4[[#This Row],[Envío]]</f>
        <v/>
      </c>
      <c r="Q6" s="378" t="inlineStr">
        <is>
          <t>OV0028020</t>
        </is>
      </c>
      <c r="R6" s="363" t="inlineStr">
        <is>
          <t>MEL47171706021FMXDF01</t>
        </is>
      </c>
      <c r="S6" s="344" t="n"/>
    </row>
    <row r="7" ht="13.5" customHeight="1">
      <c r="A7" s="363" t="inlineStr">
        <is>
          <t>28 de mayo de 2026 18:40 hs.</t>
        </is>
      </c>
      <c r="B7" s="354" t="inlineStr">
        <is>
          <t>Mercado Libre</t>
        </is>
      </c>
      <c r="C7" s="354" t="n"/>
      <c r="D7" s="363" t="inlineStr">
        <is>
          <t>28 de mayo de 2026 18:40 hs.</t>
        </is>
      </c>
      <c r="E7" s="376" t="inlineStr">
        <is>
          <t>2000013223768681</t>
        </is>
      </c>
      <c r="F7" s="365" t="n"/>
      <c r="G7" s="363" t="inlineStr">
        <is>
          <t>Melissa Patricia Zavala</t>
        </is>
      </c>
      <c r="H7" s="348">
        <f>+_xlfn.XLOOKUP(Tabla4[[#This Row],[Título de la publicación]],ML!C:C,ML!A:A,1,0,1)</f>
        <v/>
      </c>
      <c r="I7" s="363" t="inlineStr">
        <is>
          <t>Gomitas Probióticos Con Fibra Arándano Olnatura Just 120 Unid</t>
        </is>
      </c>
      <c r="J7" s="349">
        <f>+_xlfn.XLOOKUP(Tabla4[[#This Row],[Dynamics]],ML!A:A,ML!B:B,1,0,1)</f>
        <v/>
      </c>
      <c r="K7" s="364" t="n">
        <v>1</v>
      </c>
      <c r="L7" s="350" t="n"/>
      <c r="M7" s="337">
        <f>+_xlfn.XLOOKUP(Tabla4[[#This Row],[Dynamics]],ML!A:A,ML!E:E,1,0,1)</f>
        <v/>
      </c>
      <c r="N7" s="475">
        <f>Tabla4[[#This Row],[Cantidad]]*Tabla4[[#This Row],[Costo ]]</f>
        <v/>
      </c>
      <c r="O7" s="476" t="n"/>
      <c r="P7" s="475">
        <f>Tabla4[[#This Row],[Subtotal]]+Tabla4[[#This Row],[Envío]]</f>
        <v/>
      </c>
      <c r="Q7" s="378" t="inlineStr">
        <is>
          <t>OV0028020</t>
        </is>
      </c>
      <c r="R7" s="363" t="inlineStr">
        <is>
          <t>MEL47171913796FMXDF01</t>
        </is>
      </c>
      <c r="S7" s="344" t="n"/>
    </row>
    <row r="8" ht="13.5" customHeight="1">
      <c r="A8" s="363" t="inlineStr">
        <is>
          <t>28 de mayo de 2026 18:33 hs.</t>
        </is>
      </c>
      <c r="B8" s="354" t="inlineStr">
        <is>
          <t>Mercado Libre</t>
        </is>
      </c>
      <c r="C8" s="354" t="n"/>
      <c r="D8" s="363" t="inlineStr">
        <is>
          <t>28 de mayo de 2026 18:33 hs.</t>
        </is>
      </c>
      <c r="E8" s="376" t="inlineStr">
        <is>
          <t>2000013220609499</t>
        </is>
      </c>
      <c r="F8" s="365" t="n"/>
      <c r="G8" s="363" t="inlineStr">
        <is>
          <t>Sergio Sanchez</t>
        </is>
      </c>
      <c r="H8" s="348">
        <f>+_xlfn.XLOOKUP(Tabla4[[#This Row],[Título de la publicación]],ML!C:C,ML!A:A,1,0,1)</f>
        <v/>
      </c>
      <c r="I8" s="363" t="inlineStr">
        <is>
          <t>Olnatura Just Justfx Suplemento Glucosamina Condroitina Colágeno 120 Cápsulas Sin Sabor</t>
        </is>
      </c>
      <c r="J8" s="349">
        <f>+_xlfn.XLOOKUP(Tabla4[[#This Row],[Dynamics]],ML!A:A,ML!B:B,1,0,1)</f>
        <v/>
      </c>
      <c r="K8" s="364" t="n">
        <v>3</v>
      </c>
      <c r="L8" s="350" t="n"/>
      <c r="M8" s="337">
        <f>+_xlfn.XLOOKUP(Tabla4[[#This Row],[Dynamics]],ML!A:A,ML!E:E,1,0,1)</f>
        <v/>
      </c>
      <c r="N8" s="475">
        <f>Tabla4[[#This Row],[Cantidad]]*Tabla4[[#This Row],[Costo ]]</f>
        <v/>
      </c>
      <c r="O8" s="476" t="n"/>
      <c r="P8" s="475">
        <f>Tabla4[[#This Row],[Subtotal]]+Tabla4[[#This Row],[Envío]]</f>
        <v/>
      </c>
      <c r="Q8" s="378" t="inlineStr">
        <is>
          <t>OV0028020</t>
        </is>
      </c>
      <c r="R8" s="363" t="inlineStr">
        <is>
          <t>MEL47171581699FMXDF01</t>
        </is>
      </c>
      <c r="S8" s="344" t="n"/>
    </row>
    <row r="9" ht="13.5" customHeight="1">
      <c r="A9" s="363" t="inlineStr">
        <is>
          <t>28 de mayo de 2026 17:56 hs.</t>
        </is>
      </c>
      <c r="B9" s="354" t="inlineStr">
        <is>
          <t>Mercado Libre</t>
        </is>
      </c>
      <c r="C9" s="354" t="n"/>
      <c r="D9" s="363" t="inlineStr">
        <is>
          <t>28 de mayo de 2026 17:56 hs.</t>
        </is>
      </c>
      <c r="E9" s="376" t="inlineStr">
        <is>
          <t>2000013223002303</t>
        </is>
      </c>
      <c r="F9" s="365" t="n"/>
      <c r="G9" s="363" t="inlineStr">
        <is>
          <t>Paulina Barron Guerrero</t>
        </is>
      </c>
      <c r="H9" s="348">
        <f>+_xlfn.XLOOKUP(Tabla4[[#This Row],[Título de la publicación]],ML!C:C,ML!A:A,1,0,1)</f>
        <v/>
      </c>
      <c r="I9" s="363" t="inlineStr">
        <is>
          <t>Olnatura Justfx 90 Cápsulas De Glucosamina N/a</t>
        </is>
      </c>
      <c r="J9" s="349">
        <f>+_xlfn.XLOOKUP(Tabla4[[#This Row],[Dynamics]],ML!A:A,ML!B:B,1,0,1)</f>
        <v/>
      </c>
      <c r="K9" s="364" t="n">
        <v>1</v>
      </c>
      <c r="L9" s="350" t="n"/>
      <c r="M9" s="337">
        <f>+_xlfn.XLOOKUP(Tabla4[[#This Row],[Dynamics]],ML!A:A,ML!E:E,1,0,1)</f>
        <v/>
      </c>
      <c r="N9" s="475">
        <f>Tabla4[[#This Row],[Cantidad]]*Tabla4[[#This Row],[Costo ]]</f>
        <v/>
      </c>
      <c r="O9" s="476" t="n"/>
      <c r="P9" s="475">
        <f>Tabla4[[#This Row],[Subtotal]]+Tabla4[[#This Row],[Envío]]</f>
        <v/>
      </c>
      <c r="Q9" s="378" t="inlineStr">
        <is>
          <t>OV0028020</t>
        </is>
      </c>
      <c r="R9" s="363" t="inlineStr">
        <is>
          <t>MEL47171313711FMXDF01</t>
        </is>
      </c>
      <c r="S9" s="344" t="n"/>
    </row>
    <row r="10" ht="13.5" customHeight="1">
      <c r="A10" s="363" t="inlineStr">
        <is>
          <t>28 de mayo de 2026 17:26 hs.</t>
        </is>
      </c>
      <c r="B10" s="354" t="inlineStr">
        <is>
          <t>Mercado Libre</t>
        </is>
      </c>
      <c r="C10" s="354" t="n"/>
      <c r="D10" s="363" t="inlineStr">
        <is>
          <t>28 de mayo de 2026 17:26 hs.</t>
        </is>
      </c>
      <c r="E10" s="376" t="inlineStr">
        <is>
          <t>2000013222523621</t>
        </is>
      </c>
      <c r="F10" s="365" t="n"/>
      <c r="G10" s="363" t="inlineStr">
        <is>
          <t>Cecilia Rincon</t>
        </is>
      </c>
      <c r="H10" s="348">
        <f>+_xlfn.XLOOKUP(Tabla4[[#This Row],[Título de la publicación]],ML!C:C,ML!A:A,1,0,1)</f>
        <v/>
      </c>
      <c r="I10" s="363" t="inlineStr">
        <is>
          <t>Colágeno Tipo 2 Premium. Sin Desnaturalizar 90 Cápsulas  Natural</t>
        </is>
      </c>
      <c r="J10" s="349">
        <f>+_xlfn.XLOOKUP(Tabla4[[#This Row],[Dynamics]],ML!A:A,ML!B:B,1,0,1)</f>
        <v/>
      </c>
      <c r="K10" s="364" t="n">
        <v>1</v>
      </c>
      <c r="L10" s="350" t="n"/>
      <c r="M10" s="337">
        <f>+_xlfn.XLOOKUP(Tabla4[[#This Row],[Dynamics]],ML!A:A,ML!E:E,1,0,1)</f>
        <v/>
      </c>
      <c r="N10" s="475">
        <f>Tabla4[[#This Row],[Cantidad]]*Tabla4[[#This Row],[Costo ]]</f>
        <v/>
      </c>
      <c r="O10" s="476" t="n"/>
      <c r="P10" s="475">
        <f>Tabla4[[#This Row],[Subtotal]]+Tabla4[[#This Row],[Envío]]</f>
        <v/>
      </c>
      <c r="Q10" s="378" t="inlineStr">
        <is>
          <t>OV0028020</t>
        </is>
      </c>
      <c r="R10" s="363" t="inlineStr">
        <is>
          <t>MEL47171370396FMXDF01</t>
        </is>
      </c>
      <c r="S10" s="344" t="n"/>
    </row>
    <row r="11" ht="13.5" customHeight="1">
      <c r="A11" s="363" t="inlineStr">
        <is>
          <t>28 de mayo de 2026 17:04 hs.</t>
        </is>
      </c>
      <c r="B11" s="354" t="inlineStr">
        <is>
          <t>Mercado Libre</t>
        </is>
      </c>
      <c r="C11" s="354" t="n"/>
      <c r="D11" s="363" t="inlineStr">
        <is>
          <t>28 de mayo de 2026 17:04 hs.</t>
        </is>
      </c>
      <c r="E11" s="376" t="inlineStr">
        <is>
          <t>2000013222120117</t>
        </is>
      </c>
      <c r="F11" s="365" t="n"/>
      <c r="G11" s="363" t="inlineStr">
        <is>
          <t>Amparo Valdez</t>
        </is>
      </c>
      <c r="H11" s="348">
        <f>+_xlfn.XLOOKUP(Tabla4[[#This Row],[Título de la publicación]],ML!C:C,ML!A:A,1,0,1)</f>
        <v/>
      </c>
      <c r="I11" s="363" t="inlineStr">
        <is>
          <t>Just Collagen 180 Tabletas</t>
        </is>
      </c>
      <c r="J11" s="349">
        <f>+_xlfn.XLOOKUP(Tabla4[[#This Row],[Dynamics]],ML!A:A,ML!B:B,1,0,1)</f>
        <v/>
      </c>
      <c r="K11" s="364" t="n">
        <v>2</v>
      </c>
      <c r="L11" s="350" t="n"/>
      <c r="M11" s="337">
        <f>+_xlfn.XLOOKUP(Tabla4[[#This Row],[Dynamics]],ML!A:A,ML!E:E,1,0,1)</f>
        <v/>
      </c>
      <c r="N11" s="475">
        <f>Tabla4[[#This Row],[Cantidad]]*Tabla4[[#This Row],[Costo ]]</f>
        <v/>
      </c>
      <c r="O11" s="476" t="n"/>
      <c r="P11" s="475">
        <f>Tabla4[[#This Row],[Subtotal]]+Tabla4[[#This Row],[Envío]]</f>
        <v/>
      </c>
      <c r="Q11" s="378" t="inlineStr">
        <is>
          <t>OV0028020</t>
        </is>
      </c>
      <c r="R11" s="363" t="inlineStr">
        <is>
          <t>MEL47170933259FMXDF01</t>
        </is>
      </c>
      <c r="S11" s="344" t="n"/>
    </row>
    <row r="12" ht="13.5" customHeight="1">
      <c r="A12" s="363" t="inlineStr">
        <is>
          <t>28 de mayo de 2026 16:32 hs.</t>
        </is>
      </c>
      <c r="B12" s="354" t="inlineStr">
        <is>
          <t>Mercado Libre</t>
        </is>
      </c>
      <c r="C12" s="354" t="n"/>
      <c r="D12" s="363" t="inlineStr">
        <is>
          <t>28 de mayo de 2026 16:32 hs.</t>
        </is>
      </c>
      <c r="E12" s="376" t="inlineStr">
        <is>
          <t>2000013221578383</t>
        </is>
      </c>
      <c r="F12" s="365" t="n"/>
      <c r="G12" s="363" t="inlineStr">
        <is>
          <t>Alma Jenny Zubiate</t>
        </is>
      </c>
      <c r="H12" s="348">
        <f>+_xlfn.XLOOKUP(Tabla4[[#This Row],[Título de la publicación]],ML!C:C,ML!A:A,1,0,1)</f>
        <v/>
      </c>
      <c r="I12" s="363" t="inlineStr">
        <is>
          <t>Olnatura Just Fx Glucosamina 120 Cápsulas Nutricional N/a</t>
        </is>
      </c>
      <c r="J12" s="349">
        <f>+_xlfn.XLOOKUP(Tabla4[[#This Row],[Dynamics]],ML!A:A,ML!B:B,1,0,1)</f>
        <v/>
      </c>
      <c r="K12" s="364" t="n">
        <v>2</v>
      </c>
      <c r="L12" s="350" t="n"/>
      <c r="M12" s="337">
        <f>+_xlfn.XLOOKUP(Tabla4[[#This Row],[Dynamics]],ML!A:A,ML!E:E,1,0,1)</f>
        <v/>
      </c>
      <c r="N12" s="475">
        <f>Tabla4[[#This Row],[Cantidad]]*Tabla4[[#This Row],[Costo ]]</f>
        <v/>
      </c>
      <c r="O12" s="476" t="n"/>
      <c r="P12" s="475">
        <f>Tabla4[[#This Row],[Subtotal]]+Tabla4[[#This Row],[Envío]]</f>
        <v/>
      </c>
      <c r="Q12" s="378" t="inlineStr">
        <is>
          <t>OV0028020</t>
        </is>
      </c>
      <c r="R12" s="363" t="inlineStr">
        <is>
          <t>MEL47170705361FMXDF01</t>
        </is>
      </c>
      <c r="S12" s="344" t="n"/>
    </row>
    <row r="13" ht="13.5" customHeight="1">
      <c r="A13" s="363" t="inlineStr">
        <is>
          <t>28 de mayo de 2026 16:02 hs.</t>
        </is>
      </c>
      <c r="B13" s="354" t="inlineStr">
        <is>
          <t>Mercado Libre</t>
        </is>
      </c>
      <c r="C13" s="354" t="n"/>
      <c r="D13" s="363" t="inlineStr">
        <is>
          <t>28 de mayo de 2026 16:02 hs.</t>
        </is>
      </c>
      <c r="E13" s="376" t="inlineStr">
        <is>
          <t>2000013221130021</t>
        </is>
      </c>
      <c r="F13" s="365" t="n"/>
      <c r="G13" s="363" t="inlineStr">
        <is>
          <t>Leslie Abigail Borbon</t>
        </is>
      </c>
      <c r="H13" s="377" t="n">
        <v>503635000501</v>
      </c>
      <c r="I13" s="363" t="inlineStr">
        <is>
          <t xml:space="preserve">Colágeno Hidrolizado Premium Justcollagen 90 Tabletas </t>
        </is>
      </c>
      <c r="J13" s="373" t="inlineStr">
        <is>
          <t>JUSTCOLLAGEN 90 TABS</t>
        </is>
      </c>
      <c r="K13" s="364" t="n">
        <v>1</v>
      </c>
      <c r="L13" s="350" t="n"/>
      <c r="M13" s="477" t="n">
        <v>241.38</v>
      </c>
      <c r="N13" s="475">
        <f>Tabla4[[#This Row],[Cantidad]]*Tabla4[[#This Row],[Costo ]]</f>
        <v/>
      </c>
      <c r="O13" s="476" t="n"/>
      <c r="P13" s="475">
        <f>Tabla4[[#This Row],[Subtotal]]+Tabla4[[#This Row],[Envío]]</f>
        <v/>
      </c>
      <c r="Q13" s="378" t="inlineStr">
        <is>
          <t>OV0028020</t>
        </is>
      </c>
      <c r="R13" s="363" t="inlineStr">
        <is>
          <t>MEL47170499999FMXDF01</t>
        </is>
      </c>
      <c r="S13" s="344" t="n"/>
    </row>
    <row r="14" ht="13.5" customHeight="1">
      <c r="A14" s="363" t="inlineStr">
        <is>
          <t>28 de mayo de 2026 15:20 hs.</t>
        </is>
      </c>
      <c r="B14" s="354" t="inlineStr">
        <is>
          <t>Mercado Libre</t>
        </is>
      </c>
      <c r="C14" s="354" t="n"/>
      <c r="D14" s="363" t="inlineStr">
        <is>
          <t>28 de mayo de 2026 15:20 hs.</t>
        </is>
      </c>
      <c r="E14" s="376" t="inlineStr">
        <is>
          <t>2000016657172978</t>
        </is>
      </c>
      <c r="F14" s="365" t="n"/>
      <c r="G14" s="363" t="inlineStr">
        <is>
          <t>Silvia Judith Reyes</t>
        </is>
      </c>
      <c r="H14" s="348">
        <f>+_xlfn.XLOOKUP(Tabla4[[#This Row],[Título de la publicación]],ML!C:C,ML!A:A,1,0,1)</f>
        <v/>
      </c>
      <c r="I14" s="363" t="inlineStr">
        <is>
          <t>Just Collagen 180 Tabletas</t>
        </is>
      </c>
      <c r="J14" s="349">
        <f>+_xlfn.XLOOKUP(Tabla4[[#This Row],[Dynamics]],ML!A:A,ML!B:B,1,0,1)</f>
        <v/>
      </c>
      <c r="K14" s="364" t="n">
        <v>1</v>
      </c>
      <c r="L14" s="350" t="n"/>
      <c r="M14" s="337">
        <f>+_xlfn.XLOOKUP(Tabla4[[#This Row],[Dynamics]],ML!A:A,ML!E:E,1,0,1)</f>
        <v/>
      </c>
      <c r="N14" s="475">
        <f>Tabla4[[#This Row],[Cantidad]]*Tabla4[[#This Row],[Costo ]]</f>
        <v/>
      </c>
      <c r="O14" s="476" t="n"/>
      <c r="P14" s="475">
        <f>Tabla4[[#This Row],[Subtotal]]+Tabla4[[#This Row],[Envío]]</f>
        <v/>
      </c>
      <c r="Q14" s="378" t="inlineStr">
        <is>
          <t>OV0028020</t>
        </is>
      </c>
      <c r="R14" s="363" t="inlineStr">
        <is>
          <t>MEL47170217079FMXDF01</t>
        </is>
      </c>
      <c r="S14" s="344" t="n"/>
    </row>
    <row r="15" ht="13.5" customHeight="1">
      <c r="A15" s="363" t="inlineStr">
        <is>
          <t>28 de mayo de 2026 15:00 hs.</t>
        </is>
      </c>
      <c r="B15" s="354" t="inlineStr">
        <is>
          <t>Mercado Libre</t>
        </is>
      </c>
      <c r="C15" s="354" t="n"/>
      <c r="D15" s="363" t="inlineStr">
        <is>
          <t>28 de mayo de 2026 15:00 hs.</t>
        </is>
      </c>
      <c r="E15" s="376" t="inlineStr">
        <is>
          <t>2000013220187561</t>
        </is>
      </c>
      <c r="F15" s="365" t="n"/>
      <c r="G15" s="363" t="inlineStr">
        <is>
          <t>Ivonne Bautista</t>
        </is>
      </c>
      <c r="H15" s="348">
        <f>+_xlfn.XLOOKUP(Tabla4[[#This Row],[Título de la publicación]],ML!C:C,ML!A:A,1,0,1)</f>
        <v/>
      </c>
      <c r="I15" s="363" t="inlineStr">
        <is>
          <t>Olnatura Just Justfx Suplemento Glucosamina Condroitina Colágeno 120 Cápsulas Sin Sabor</t>
        </is>
      </c>
      <c r="J15" s="349">
        <f>+_xlfn.XLOOKUP(Tabla4[[#This Row],[Dynamics]],ML!A:A,ML!B:B,1,0,1)</f>
        <v/>
      </c>
      <c r="K15" s="364" t="n">
        <v>1</v>
      </c>
      <c r="L15" s="350" t="n"/>
      <c r="M15" s="337">
        <f>+_xlfn.XLOOKUP(Tabla4[[#This Row],[Dynamics]],ML!A:A,ML!E:E,1,0,1)</f>
        <v/>
      </c>
      <c r="N15" s="475">
        <f>Tabla4[[#This Row],[Cantidad]]*Tabla4[[#This Row],[Costo ]]</f>
        <v/>
      </c>
      <c r="O15" s="476" t="n"/>
      <c r="P15" s="475">
        <f>Tabla4[[#This Row],[Subtotal]]+Tabla4[[#This Row],[Envío]]</f>
        <v/>
      </c>
      <c r="Q15" s="378" t="inlineStr">
        <is>
          <t>OV0028020</t>
        </is>
      </c>
      <c r="R15" s="363" t="inlineStr">
        <is>
          <t>MEL47170080063FMXDF01</t>
        </is>
      </c>
      <c r="S15" s="344" t="n"/>
    </row>
    <row r="16" ht="13.5" customHeight="1">
      <c r="A16" s="363" t="inlineStr">
        <is>
          <t>28 de mayo de 2026 14:45 hs.</t>
        </is>
      </c>
      <c r="B16" s="354" t="inlineStr">
        <is>
          <t>Mercado Libre</t>
        </is>
      </c>
      <c r="C16" s="354" t="n"/>
      <c r="D16" s="363" t="inlineStr">
        <is>
          <t>28 de mayo de 2026 14:45 hs.</t>
        </is>
      </c>
      <c r="E16" s="376" t="inlineStr">
        <is>
          <t>2000016656655078</t>
        </is>
      </c>
      <c r="F16" s="365" t="n"/>
      <c r="G16" s="363" t="inlineStr">
        <is>
          <t>Juan Angel Flores Santiago</t>
        </is>
      </c>
      <c r="H16" s="348">
        <f>+_xlfn.XLOOKUP(Tabla4[[#This Row],[Título de la publicación]],ML!C:C,ML!A:A,1,0,1)</f>
        <v/>
      </c>
      <c r="I16" s="363" t="inlineStr">
        <is>
          <t>Just Collagen 180 Tabletas</t>
        </is>
      </c>
      <c r="J16" s="349">
        <f>+_xlfn.XLOOKUP(Tabla4[[#This Row],[Dynamics]],ML!A:A,ML!B:B,1,0,1)</f>
        <v/>
      </c>
      <c r="K16" s="364" t="n">
        <v>1</v>
      </c>
      <c r="L16" s="350" t="n"/>
      <c r="M16" s="337">
        <f>+_xlfn.XLOOKUP(Tabla4[[#This Row],[Dynamics]],ML!A:A,ML!E:E,1,0,1)</f>
        <v/>
      </c>
      <c r="N16" s="475">
        <f>Tabla4[[#This Row],[Cantidad]]*Tabla4[[#This Row],[Costo ]]</f>
        <v/>
      </c>
      <c r="O16" s="476" t="n"/>
      <c r="P16" s="475">
        <f>Tabla4[[#This Row],[Subtotal]]+Tabla4[[#This Row],[Envío]]</f>
        <v/>
      </c>
      <c r="Q16" s="378" t="inlineStr">
        <is>
          <t>OV0028020</t>
        </is>
      </c>
      <c r="R16" s="363" t="inlineStr">
        <is>
          <t>MEL47170241332FMXDF01</t>
        </is>
      </c>
      <c r="S16" s="344" t="n"/>
    </row>
    <row r="17" ht="14" customHeight="1">
      <c r="A17" s="363" t="inlineStr">
        <is>
          <t>28 de mayo de 2026 14:40 hs.</t>
        </is>
      </c>
      <c r="B17" s="354" t="inlineStr">
        <is>
          <t>Mercado Libre</t>
        </is>
      </c>
      <c r="C17" s="354" t="n"/>
      <c r="D17" s="363" t="inlineStr">
        <is>
          <t>28 de mayo de 2026 14:40 hs.</t>
        </is>
      </c>
      <c r="E17" s="376" t="inlineStr">
        <is>
          <t>2000013219877093</t>
        </is>
      </c>
      <c r="F17" s="365" t="n"/>
      <c r="G17" s="363" t="inlineStr">
        <is>
          <t>Hisae Xanat Carbajal</t>
        </is>
      </c>
      <c r="H17" s="377" t="n">
        <v>503635000300</v>
      </c>
      <c r="I17" s="363" t="inlineStr">
        <is>
          <t>Olnatura Just Glucosamina Condroitina 410 Cápsulas Sabor N/a</t>
        </is>
      </c>
      <c r="J17" s="373" t="inlineStr">
        <is>
          <t>GLUCOSAMINA / CONDROITINA BOVINO 410 TAB</t>
        </is>
      </c>
      <c r="K17" s="364" t="n">
        <v>1</v>
      </c>
      <c r="L17" s="350" t="n"/>
      <c r="M17" s="477" t="n">
        <v>758.62</v>
      </c>
      <c r="N17" s="475">
        <f>Tabla4[[#This Row],[Cantidad]]*Tabla4[[#This Row],[Costo ]]</f>
        <v/>
      </c>
      <c r="O17" s="476" t="n"/>
      <c r="P17" s="475">
        <f>Tabla4[[#This Row],[Subtotal]]+Tabla4[[#This Row],[Envío]]</f>
        <v/>
      </c>
      <c r="Q17" s="378" t="inlineStr">
        <is>
          <t>OV0028020</t>
        </is>
      </c>
      <c r="R17" s="363" t="inlineStr">
        <is>
          <t>MEL47169930945FMXDF01</t>
        </is>
      </c>
      <c r="S17" s="344" t="n"/>
    </row>
    <row r="18" ht="13.5" customHeight="1">
      <c r="A18" s="363" t="inlineStr">
        <is>
          <t>28 de mayo de 2026 14:34 hs.</t>
        </is>
      </c>
      <c r="B18" s="354" t="inlineStr">
        <is>
          <t>Mercado Libre</t>
        </is>
      </c>
      <c r="C18" s="354" t="n"/>
      <c r="D18" s="363" t="inlineStr">
        <is>
          <t>28 de mayo de 2026 14:34 hs.</t>
        </is>
      </c>
      <c r="E18" s="376" t="inlineStr">
        <is>
          <t>2000013219793151</t>
        </is>
      </c>
      <c r="F18" s="365" t="n"/>
      <c r="G18" s="363" t="inlineStr">
        <is>
          <t>Daniela Montes de Oca Méndez</t>
        </is>
      </c>
      <c r="H18" s="348">
        <f>+_xlfn.XLOOKUP(Tabla4[[#This Row],[Título de la publicación]],ML!C:C,ML!A:A,1,0,1)</f>
        <v/>
      </c>
      <c r="I18" s="363" t="inlineStr">
        <is>
          <t>Olnatura Just Gomitas Biotina Arándano Sabor Frambuesa Vegano Sin Gluten 120 Uds</t>
        </is>
      </c>
      <c r="J18" s="349">
        <f>+_xlfn.XLOOKUP(Tabla4[[#This Row],[Dynamics]],ML!A:A,ML!B:B,1,0,1)</f>
        <v/>
      </c>
      <c r="K18" s="364" t="n">
        <v>2</v>
      </c>
      <c r="L18" s="350" t="n"/>
      <c r="M18" s="337">
        <f>+_xlfn.XLOOKUP(Tabla4[[#This Row],[Dynamics]],ML!A:A,ML!E:E,1,0,1)</f>
        <v/>
      </c>
      <c r="N18" s="475">
        <f>Tabla4[[#This Row],[Cantidad]]*Tabla4[[#This Row],[Costo ]]</f>
        <v/>
      </c>
      <c r="O18" s="476" t="n"/>
      <c r="P18" s="475">
        <f>Tabla4[[#This Row],[Subtotal]]+Tabla4[[#This Row],[Envío]]</f>
        <v/>
      </c>
      <c r="Q18" s="378" t="inlineStr">
        <is>
          <t>OV0028020</t>
        </is>
      </c>
      <c r="R18" s="363" t="inlineStr">
        <is>
          <t>MEL47170166112FMXDF01</t>
        </is>
      </c>
      <c r="S18" s="344" t="n"/>
    </row>
    <row r="19" ht="13.5" customHeight="1">
      <c r="A19" s="363" t="inlineStr">
        <is>
          <t>28 de mayo de 2026 14:16 hs.</t>
        </is>
      </c>
      <c r="B19" s="354" t="inlineStr">
        <is>
          <t>Mercado Libre</t>
        </is>
      </c>
      <c r="C19" s="354" t="n"/>
      <c r="D19" s="363" t="inlineStr">
        <is>
          <t>28 de mayo de 2026 14:16 hs.</t>
        </is>
      </c>
      <c r="E19" s="376" t="inlineStr">
        <is>
          <t>2000013219476265</t>
        </is>
      </c>
      <c r="F19" s="365" t="n"/>
      <c r="G19" s="363" t="inlineStr">
        <is>
          <t>Gladis Galvez</t>
        </is>
      </c>
      <c r="H19" s="348">
        <f>+_xlfn.XLOOKUP(Tabla4[[#This Row],[Título de la publicación]],ML!C:C,ML!A:A,1,0,1)</f>
        <v/>
      </c>
      <c r="I19" s="363" t="inlineStr">
        <is>
          <t>Olnatura Justfx 90 Cápsulas De Glucosamina N/a</t>
        </is>
      </c>
      <c r="J19" s="349">
        <f>+_xlfn.XLOOKUP(Tabla4[[#This Row],[Dynamics]],ML!A:A,ML!B:B,1,0,1)</f>
        <v/>
      </c>
      <c r="K19" s="364" t="n">
        <v>3</v>
      </c>
      <c r="L19" s="350" t="n"/>
      <c r="M19" s="337">
        <f>+_xlfn.XLOOKUP(Tabla4[[#This Row],[Dynamics]],ML!A:A,ML!E:E,1,0,1)</f>
        <v/>
      </c>
      <c r="N19" s="475">
        <f>Tabla4[[#This Row],[Cantidad]]*Tabla4[[#This Row],[Costo ]]</f>
        <v/>
      </c>
      <c r="O19" s="476" t="n"/>
      <c r="P19" s="475">
        <f>Tabla4[[#This Row],[Subtotal]]+Tabla4[[#This Row],[Envío]]</f>
        <v/>
      </c>
      <c r="Q19" s="378" t="inlineStr">
        <is>
          <t>OV0028020</t>
        </is>
      </c>
      <c r="R19" s="363" t="inlineStr">
        <is>
          <t>MEL47169758557FMXDF01</t>
        </is>
      </c>
      <c r="S19" s="344" t="n"/>
    </row>
    <row r="20" ht="13.5" customHeight="1">
      <c r="A20" s="363" t="inlineStr">
        <is>
          <t>28 de mayo de 2026 13:44 hs.</t>
        </is>
      </c>
      <c r="B20" s="354" t="inlineStr">
        <is>
          <t>Mercado Libre</t>
        </is>
      </c>
      <c r="C20" s="361" t="n"/>
      <c r="D20" s="363" t="inlineStr">
        <is>
          <t>28 de mayo de 2026 13:44 hs.</t>
        </is>
      </c>
      <c r="E20" s="376" t="inlineStr">
        <is>
          <t>2000013218991453</t>
        </is>
      </c>
      <c r="F20" s="365" t="n"/>
      <c r="G20" s="363" t="inlineStr">
        <is>
          <t>Patricia Ramona Martinez</t>
        </is>
      </c>
      <c r="H20" s="348">
        <f>+_xlfn.XLOOKUP(Tabla4[[#This Row],[Título de la publicación]],ML!C:C,ML!A:A,1,0,1)</f>
        <v/>
      </c>
      <c r="I20" s="363" t="inlineStr">
        <is>
          <t>Olnatura Glucosamina 240 Tabletas Boro Y Manganeso</t>
        </is>
      </c>
      <c r="J20" s="349">
        <f>+_xlfn.XLOOKUP(Tabla4[[#This Row],[Dynamics]],ML!A:A,ML!B:B,1,0,1)</f>
        <v/>
      </c>
      <c r="K20" s="364" t="n">
        <v>1</v>
      </c>
      <c r="L20" s="350" t="n"/>
      <c r="M20" s="337">
        <f>+_xlfn.XLOOKUP(Tabla4[[#This Row],[Dynamics]],ML!A:A,ML!E:E,1,0,1)</f>
        <v/>
      </c>
      <c r="N20" s="475">
        <f>Tabla4[[#This Row],[Cantidad]]*Tabla4[[#This Row],[Costo ]]</f>
        <v/>
      </c>
      <c r="O20" s="476" t="n"/>
      <c r="P20" s="475">
        <f>Tabla4[[#This Row],[Subtotal]]+Tabla4[[#This Row],[Envío]]</f>
        <v/>
      </c>
      <c r="Q20" s="378" t="inlineStr">
        <is>
          <t>OV0028020</t>
        </is>
      </c>
      <c r="R20" s="363" t="inlineStr">
        <is>
          <t>MEL47169522595FMXDF01</t>
        </is>
      </c>
      <c r="S20" s="344" t="n"/>
    </row>
    <row r="21" ht="13.5" customHeight="1">
      <c r="A21" s="363" t="inlineStr">
        <is>
          <t>28 de mayo de 2026 13:37 hs.</t>
        </is>
      </c>
      <c r="B21" s="354" t="inlineStr">
        <is>
          <t>Mercado Libre</t>
        </is>
      </c>
      <c r="C21" s="361" t="n"/>
      <c r="D21" s="363" t="inlineStr">
        <is>
          <t>28 de mayo de 2026 13:37 hs.</t>
        </is>
      </c>
      <c r="E21" s="376" t="inlineStr">
        <is>
          <t>2000013218852733</t>
        </is>
      </c>
      <c r="F21" s="365" t="n"/>
      <c r="G21" s="363" t="inlineStr">
        <is>
          <t>Gilberto Pineda Yacotu</t>
        </is>
      </c>
      <c r="H21" s="348">
        <f>+_xlfn.XLOOKUP(Tabla4[[#This Row],[Título de la publicación]],ML!C:C,ML!A:A,1,0,1)</f>
        <v/>
      </c>
      <c r="I21" s="363" t="inlineStr">
        <is>
          <t>Olnatura Justfx 90 Cápsulas De Glucosamina N/a</t>
        </is>
      </c>
      <c r="J21" s="349">
        <f>+_xlfn.XLOOKUP(Tabla4[[#This Row],[Dynamics]],ML!A:A,ML!B:B,1,0,1)</f>
        <v/>
      </c>
      <c r="K21" s="364" t="n">
        <v>1</v>
      </c>
      <c r="L21" s="350" t="n"/>
      <c r="M21" s="337">
        <f>+_xlfn.XLOOKUP(Tabla4[[#This Row],[Dynamics]],ML!A:A,ML!E:E,1,0,1)</f>
        <v/>
      </c>
      <c r="N21" s="475">
        <f>Tabla4[[#This Row],[Cantidad]]*Tabla4[[#This Row],[Costo ]]</f>
        <v/>
      </c>
      <c r="O21" s="476" t="n"/>
      <c r="P21" s="475">
        <f>Tabla4[[#This Row],[Subtotal]]+Tabla4[[#This Row],[Envío]]</f>
        <v/>
      </c>
      <c r="Q21" s="378" t="inlineStr">
        <is>
          <t>OV0028020</t>
        </is>
      </c>
      <c r="R21" s="363" t="inlineStr">
        <is>
          <t>MEL47169738414FMXDF01</t>
        </is>
      </c>
      <c r="S21" s="344" t="n"/>
    </row>
    <row r="22" ht="13.5" customHeight="1">
      <c r="A22" s="363" t="inlineStr">
        <is>
          <t>28 de mayo de 2026 12:45 hs.</t>
        </is>
      </c>
      <c r="B22" s="354" t="inlineStr">
        <is>
          <t>Mercado Libre</t>
        </is>
      </c>
      <c r="C22" s="354" t="n"/>
      <c r="D22" s="363" t="inlineStr">
        <is>
          <t>28 de mayo de 2026 12:45 hs.</t>
        </is>
      </c>
      <c r="E22" s="376" t="inlineStr">
        <is>
          <t>2000013217989469</t>
        </is>
      </c>
      <c r="F22" s="365" t="n"/>
      <c r="G22" s="363" t="inlineStr">
        <is>
          <t>Jorge Alfredo Flores</t>
        </is>
      </c>
      <c r="H22" s="348">
        <f>+_xlfn.XLOOKUP(Tabla4[[#This Row],[Título de la publicación]],ML!C:C,ML!A:A,1,0,1)</f>
        <v/>
      </c>
      <c r="I22" s="363" t="inlineStr">
        <is>
          <t>Just Collagen 180 Tabletas</t>
        </is>
      </c>
      <c r="J22" s="349">
        <f>+_xlfn.XLOOKUP(Tabla4[[#This Row],[Dynamics]],ML!A:A,ML!B:B,1,0,1)</f>
        <v/>
      </c>
      <c r="K22" s="364" t="n">
        <v>2</v>
      </c>
      <c r="L22" s="350" t="n"/>
      <c r="M22" s="337">
        <f>+_xlfn.XLOOKUP(Tabla4[[#This Row],[Dynamics]],ML!A:A,ML!E:E,1,0,1)</f>
        <v/>
      </c>
      <c r="N22" s="475">
        <f>Tabla4[[#This Row],[Cantidad]]*Tabla4[[#This Row],[Costo ]]</f>
        <v/>
      </c>
      <c r="O22" s="476" t="n"/>
      <c r="P22" s="475">
        <f>Tabla4[[#This Row],[Subtotal]]+Tabla4[[#This Row],[Envío]]</f>
        <v/>
      </c>
      <c r="Q22" s="378" t="inlineStr">
        <is>
          <t>OV0028020</t>
        </is>
      </c>
      <c r="R22" s="363" t="inlineStr">
        <is>
          <t>MEL47169053815FMXDF01</t>
        </is>
      </c>
      <c r="S22" s="344" t="n"/>
    </row>
    <row r="23" ht="13.5" customHeight="1">
      <c r="A23" s="363" t="inlineStr">
        <is>
          <t>28 de mayo de 2026 12:10 hs.</t>
        </is>
      </c>
      <c r="B23" s="354" t="inlineStr">
        <is>
          <t>Mercado Libre</t>
        </is>
      </c>
      <c r="C23" s="354" t="n"/>
      <c r="D23" s="363" t="inlineStr">
        <is>
          <t>28 de mayo de 2026 12:10 hs.</t>
        </is>
      </c>
      <c r="E23" s="376" t="inlineStr">
        <is>
          <t>2000013217354333</t>
        </is>
      </c>
      <c r="F23" s="365" t="n"/>
      <c r="G23" s="363" t="inlineStr">
        <is>
          <t>Lidia Saavedra Espinoza</t>
        </is>
      </c>
      <c r="H23" s="348">
        <f>+_xlfn.XLOOKUP(Tabla4[[#This Row],[Título de la publicación]],ML!C:C,ML!A:A,1,0,1)</f>
        <v/>
      </c>
      <c r="I23" s="363" t="inlineStr">
        <is>
          <t>Just Collagen 180 Tabletas</t>
        </is>
      </c>
      <c r="J23" s="349">
        <f>+_xlfn.XLOOKUP(Tabla4[[#This Row],[Dynamics]],ML!A:A,ML!B:B,1,0,1)</f>
        <v/>
      </c>
      <c r="K23" s="364" t="n">
        <v>4</v>
      </c>
      <c r="L23" s="350" t="n"/>
      <c r="M23" s="337">
        <f>+_xlfn.XLOOKUP(Tabla4[[#This Row],[Dynamics]],ML!A:A,ML!E:E,1,0,1)</f>
        <v/>
      </c>
      <c r="N23" s="475">
        <f>Tabla4[[#This Row],[Cantidad]]*Tabla4[[#This Row],[Costo ]]</f>
        <v/>
      </c>
      <c r="O23" s="476" t="n"/>
      <c r="P23" s="475">
        <f>Tabla4[[#This Row],[Subtotal]]+Tabla4[[#This Row],[Envío]]</f>
        <v/>
      </c>
      <c r="Q23" s="378" t="inlineStr">
        <is>
          <t>OV0028020</t>
        </is>
      </c>
      <c r="R23" s="363" t="inlineStr">
        <is>
          <t>MEL47168771997FMXDF01</t>
        </is>
      </c>
      <c r="S23" s="344" t="n"/>
    </row>
    <row r="24" ht="13.5" customHeight="1">
      <c r="A24" s="363" t="inlineStr">
        <is>
          <t>28 de mayo de 2026 11:56 hs.</t>
        </is>
      </c>
      <c r="B24" s="354" t="inlineStr">
        <is>
          <t>Mercado Libre</t>
        </is>
      </c>
      <c r="C24" s="354" t="n"/>
      <c r="D24" s="363" t="inlineStr">
        <is>
          <t>28 de mayo de 2026 11:56 hs.</t>
        </is>
      </c>
      <c r="E24" s="376" t="inlineStr">
        <is>
          <t>2000013217112011</t>
        </is>
      </c>
      <c r="F24" s="365" t="n"/>
      <c r="G24" s="363" t="inlineStr">
        <is>
          <t>Martha Leticia Vargas Garcia</t>
        </is>
      </c>
      <c r="H24" s="348">
        <f>+_xlfn.XLOOKUP(Tabla4[[#This Row],[Título de la publicación]],ML!C:C,ML!A:A,1,0,1)</f>
        <v/>
      </c>
      <c r="I24" s="363" t="inlineStr">
        <is>
          <t>Just Collagen 180 Tabletas</t>
        </is>
      </c>
      <c r="J24" s="349">
        <f>+_xlfn.XLOOKUP(Tabla4[[#This Row],[Dynamics]],ML!A:A,ML!B:B,1,0,1)</f>
        <v/>
      </c>
      <c r="K24" s="364" t="n">
        <v>2</v>
      </c>
      <c r="L24" s="350" t="n"/>
      <c r="M24" s="337">
        <f>+_xlfn.XLOOKUP(Tabla4[[#This Row],[Dynamics]],ML!A:A,ML!E:E,1,0,1)</f>
        <v/>
      </c>
      <c r="N24" s="475">
        <f>Tabla4[[#This Row],[Cantidad]]*Tabla4[[#This Row],[Costo ]]</f>
        <v/>
      </c>
      <c r="O24" s="476" t="n"/>
      <c r="P24" s="475">
        <f>Tabla4[[#This Row],[Subtotal]]+Tabla4[[#This Row],[Envío]]</f>
        <v/>
      </c>
      <c r="Q24" s="378" t="inlineStr">
        <is>
          <t>OV0028020</t>
        </is>
      </c>
      <c r="R24" s="363" t="inlineStr">
        <is>
          <t>MEL47168657219FMXDF01</t>
        </is>
      </c>
      <c r="S24" s="344" t="n"/>
    </row>
    <row r="25" ht="13.5" customHeight="1">
      <c r="A25" s="363" t="inlineStr">
        <is>
          <t>28 de mayo de 2026 09:45 hs.</t>
        </is>
      </c>
      <c r="B25" s="354" t="inlineStr">
        <is>
          <t>Mercado Libre</t>
        </is>
      </c>
      <c r="C25" s="354" t="n"/>
      <c r="D25" s="363" t="inlineStr">
        <is>
          <t>28 de mayo de 2026 09:45 hs.</t>
        </is>
      </c>
      <c r="E25" s="376" t="inlineStr">
        <is>
          <t>2000013214727367</t>
        </is>
      </c>
      <c r="F25" s="365" t="n"/>
      <c r="G25" s="363" t="inlineStr">
        <is>
          <t>Rafael Lopez</t>
        </is>
      </c>
      <c r="H25" s="348">
        <f>+_xlfn.XLOOKUP(Tabla4[[#This Row],[Título de la publicación]],ML!C:C,ML!A:A,1,0,1)</f>
        <v/>
      </c>
      <c r="I25" s="363" t="inlineStr">
        <is>
          <t>Olnatura Just Justfx Suplemento Glucosamina Condroitina Colágeno 120 Cápsulas Sin Sabor</t>
        </is>
      </c>
      <c r="J25" s="349">
        <f>+_xlfn.XLOOKUP(Tabla4[[#This Row],[Dynamics]],ML!A:A,ML!B:B,1,0,1)</f>
        <v/>
      </c>
      <c r="K25" s="364" t="n">
        <v>1</v>
      </c>
      <c r="L25" s="350" t="n"/>
      <c r="M25" s="337">
        <f>+_xlfn.XLOOKUP(Tabla4[[#This Row],[Dynamics]],ML!A:A,ML!E:E,1,0,1)</f>
        <v/>
      </c>
      <c r="N25" s="475">
        <f>Tabla4[[#This Row],[Cantidad]]*Tabla4[[#This Row],[Costo ]]</f>
        <v/>
      </c>
      <c r="O25" s="476" t="n"/>
      <c r="P25" s="475">
        <f>Tabla4[[#This Row],[Subtotal]]+Tabla4[[#This Row],[Envío]]</f>
        <v/>
      </c>
      <c r="Q25" s="378" t="inlineStr">
        <is>
          <t>OV0028020</t>
        </is>
      </c>
      <c r="R25" s="363" t="inlineStr">
        <is>
          <t>MEL47167838140FMXDF01</t>
        </is>
      </c>
      <c r="S25" s="344" t="n"/>
    </row>
    <row r="26" ht="13.5" customHeight="1">
      <c r="A26" s="363" t="inlineStr">
        <is>
          <t>28 de mayo de 2026 09:38 hs.</t>
        </is>
      </c>
      <c r="B26" s="354" t="inlineStr">
        <is>
          <t>Mercado Libre</t>
        </is>
      </c>
      <c r="C26" s="354" t="n"/>
      <c r="D26" s="363" t="inlineStr">
        <is>
          <t>28 de mayo de 2026 09:38 hs.</t>
        </is>
      </c>
      <c r="E26" s="376" t="inlineStr">
        <is>
          <t>2000013214581527</t>
        </is>
      </c>
      <c r="F26" s="365" t="n"/>
      <c r="G26" s="363" t="inlineStr">
        <is>
          <t>Jose Luis Serrano Estevane</t>
        </is>
      </c>
      <c r="H26" s="377" t="n">
        <v>503635001700</v>
      </c>
      <c r="I26" s="363" t="inlineStr">
        <is>
          <t>Colágeno Hidrolizado Olnatura Just Collagen En Gomitas Con Sabor A Frutos Rojos</t>
        </is>
      </c>
      <c r="J26" s="373" t="inlineStr">
        <is>
          <t>JUSTCOLLAGEN 111 GOMAS</t>
        </is>
      </c>
      <c r="K26" s="364" t="n">
        <v>1</v>
      </c>
      <c r="L26" s="350" t="n"/>
      <c r="M26" s="477" t="n">
        <v>362.07</v>
      </c>
      <c r="N26" s="475">
        <f>Tabla4[[#This Row],[Cantidad]]*Tabla4[[#This Row],[Costo ]]</f>
        <v/>
      </c>
      <c r="O26" s="476" t="n"/>
      <c r="P26" s="475">
        <f>Tabla4[[#This Row],[Subtotal]]+Tabla4[[#This Row],[Envío]]</f>
        <v/>
      </c>
      <c r="Q26" s="378" t="inlineStr">
        <is>
          <t>OV0028020</t>
        </is>
      </c>
      <c r="R26" s="363" t="inlineStr">
        <is>
          <t>MEL47167777540FMXDF01</t>
        </is>
      </c>
      <c r="S26" s="344" t="n"/>
    </row>
    <row r="27" ht="14" customHeight="1">
      <c r="A27" s="363" t="inlineStr">
        <is>
          <t>28 de mayo de 2026 08:50 hs.</t>
        </is>
      </c>
      <c r="B27" s="354" t="inlineStr">
        <is>
          <t>Mercado Libre</t>
        </is>
      </c>
      <c r="C27" s="354" t="n"/>
      <c r="D27" s="363" t="inlineStr">
        <is>
          <t>28 de mayo de 2026 08:50 hs.</t>
        </is>
      </c>
      <c r="E27" s="376" t="inlineStr">
        <is>
          <t>2000013213748157</t>
        </is>
      </c>
      <c r="F27" s="365" t="n"/>
      <c r="G27" s="363" t="inlineStr">
        <is>
          <t>Dora Cristina García  Pérez</t>
        </is>
      </c>
      <c r="H27" s="348">
        <f>+_xlfn.XLOOKUP(Tabla4[[#This Row],[Título de la publicación]],ML!C:C,ML!A:A,1,0,1)</f>
        <v/>
      </c>
      <c r="I27" s="363" t="inlineStr">
        <is>
          <t>Just For You Glucosamina Condroitina 240 Tabletas Original</t>
        </is>
      </c>
      <c r="J27" s="349">
        <f>+_xlfn.XLOOKUP(Tabla4[[#This Row],[Dynamics]],ML!A:A,ML!B:B,1,0,1)</f>
        <v/>
      </c>
      <c r="K27" s="364" t="n">
        <v>2</v>
      </c>
      <c r="L27" s="350" t="n"/>
      <c r="M27" s="337">
        <f>+_xlfn.XLOOKUP(Tabla4[[#This Row],[Dynamics]],ML!A:A,ML!E:E,1,0,1)</f>
        <v/>
      </c>
      <c r="N27" s="475">
        <f>Tabla4[[#This Row],[Cantidad]]*Tabla4[[#This Row],[Costo ]]</f>
        <v/>
      </c>
      <c r="O27" s="476" t="n"/>
      <c r="P27" s="475">
        <f>Tabla4[[#This Row],[Subtotal]]+Tabla4[[#This Row],[Envío]]</f>
        <v/>
      </c>
      <c r="Q27" s="378" t="inlineStr">
        <is>
          <t>OV0028020</t>
        </is>
      </c>
      <c r="R27" s="363" t="inlineStr">
        <is>
          <t>MEL47167136773FMXDF01</t>
        </is>
      </c>
      <c r="S27" s="344" t="n"/>
    </row>
    <row r="28" ht="14" customHeight="1">
      <c r="A28" s="363" t="inlineStr">
        <is>
          <t>28 de mayo de 2026 08:36 hs.</t>
        </is>
      </c>
      <c r="B28" s="354" t="inlineStr">
        <is>
          <t>Mercado Libre</t>
        </is>
      </c>
      <c r="C28" s="354" t="n"/>
      <c r="D28" s="363" t="inlineStr">
        <is>
          <t>28 de mayo de 2026 08:36 hs.</t>
        </is>
      </c>
      <c r="E28" s="376" t="inlineStr">
        <is>
          <t>2000013213480501</t>
        </is>
      </c>
      <c r="F28" s="365" t="n"/>
      <c r="G28" s="363" t="inlineStr">
        <is>
          <t>Ernesto Martinez</t>
        </is>
      </c>
      <c r="H28" s="348">
        <f>+_xlfn.XLOOKUP(Tabla4[[#This Row],[Título de la publicación]],ML!C:C,ML!A:A,1,0,1)</f>
        <v/>
      </c>
      <c r="I28" s="363" t="inlineStr">
        <is>
          <t>Colágeno Tipo 2 Premium. Sin Desnaturalizar 90 Cápsulas Olnatura Just Natural</t>
        </is>
      </c>
      <c r="J28" s="349">
        <f>+_xlfn.XLOOKUP(Tabla4[[#This Row],[Dynamics]],ML!A:A,ML!B:B,1,0,1)</f>
        <v/>
      </c>
      <c r="K28" s="364" t="n">
        <v>2</v>
      </c>
      <c r="L28" s="350" t="n"/>
      <c r="M28" s="337">
        <f>+_xlfn.XLOOKUP(Tabla4[[#This Row],[Dynamics]],ML!A:A,ML!E:E,1,0,1)</f>
        <v/>
      </c>
      <c r="N28" s="475">
        <f>Tabla4[[#This Row],[Cantidad]]*Tabla4[[#This Row],[Costo ]]</f>
        <v/>
      </c>
      <c r="O28" s="476" t="n"/>
      <c r="P28" s="475">
        <f>Tabla4[[#This Row],[Subtotal]]+Tabla4[[#This Row],[Envío]]</f>
        <v/>
      </c>
      <c r="Q28" s="378" t="inlineStr">
        <is>
          <t>OV0028020</t>
        </is>
      </c>
      <c r="R28" s="363" t="inlineStr">
        <is>
          <t>MEL47167021647FMXDF01</t>
        </is>
      </c>
      <c r="S28" s="344" t="n"/>
    </row>
    <row r="29" ht="14" customHeight="1">
      <c r="A29" s="363" t="inlineStr">
        <is>
          <t>28 de mayo de 2026 08:34 hs.</t>
        </is>
      </c>
      <c r="B29" s="354" t="inlineStr">
        <is>
          <t>Mercado Libre</t>
        </is>
      </c>
      <c r="C29" s="354" t="n"/>
      <c r="D29" s="363" t="inlineStr">
        <is>
          <t>28 de mayo de 2026 08:34 hs.</t>
        </is>
      </c>
      <c r="E29" s="376" t="inlineStr">
        <is>
          <t>2000013213481153</t>
        </is>
      </c>
      <c r="F29" s="365" t="n"/>
      <c r="G29" s="363" t="inlineStr">
        <is>
          <t>ERIKA VALENCIA</t>
        </is>
      </c>
      <c r="H29" s="348">
        <f>+_xlfn.XLOOKUP(Tabla4[[#This Row],[Título de la publicación]],ML!C:C,ML!A:A,1,0,1)</f>
        <v/>
      </c>
      <c r="I29" s="363" t="inlineStr">
        <is>
          <t>Isoflavonas Olnatura Just 90 Tabletas</t>
        </is>
      </c>
      <c r="J29" s="349">
        <f>+_xlfn.XLOOKUP(Tabla4[[#This Row],[Dynamics]],ML!A:A,ML!B:B,1,0,1)</f>
        <v/>
      </c>
      <c r="K29" s="364" t="n">
        <v>1</v>
      </c>
      <c r="L29" s="350" t="n"/>
      <c r="M29" s="337">
        <f>+_xlfn.XLOOKUP(Tabla4[[#This Row],[Dynamics]],ML!A:A,ML!E:E,1,0,1)</f>
        <v/>
      </c>
      <c r="N29" s="475">
        <f>Tabla4[[#This Row],[Cantidad]]*Tabla4[[#This Row],[Costo ]]</f>
        <v/>
      </c>
      <c r="O29" s="476" t="n"/>
      <c r="P29" s="475">
        <f>Tabla4[[#This Row],[Subtotal]]+Tabla4[[#This Row],[Envío]]</f>
        <v/>
      </c>
      <c r="Q29" s="378" t="inlineStr">
        <is>
          <t>OV0028020</t>
        </is>
      </c>
      <c r="R29" s="363" t="inlineStr">
        <is>
          <t>MEL47167280818FMXDF01</t>
        </is>
      </c>
      <c r="S29" s="344" t="n"/>
    </row>
    <row r="30" ht="14" customHeight="1">
      <c r="A30" s="363" t="inlineStr">
        <is>
          <t>28 de mayo de 2026 06:18 hs.</t>
        </is>
      </c>
      <c r="B30" s="354" t="inlineStr">
        <is>
          <t>Mercado Libre</t>
        </is>
      </c>
      <c r="C30" s="354" t="n"/>
      <c r="D30" s="363" t="inlineStr">
        <is>
          <t>28 de mayo de 2026 06:18 hs.</t>
        </is>
      </c>
      <c r="E30" s="376" t="inlineStr">
        <is>
          <t>2000013211617045</t>
        </is>
      </c>
      <c r="F30" s="365" t="n"/>
      <c r="G30" s="363" t="inlineStr">
        <is>
          <t>Guadalupe pizano</t>
        </is>
      </c>
      <c r="H30" s="348">
        <f>+_xlfn.XLOOKUP(Tabla4[[#This Row],[Título de la publicación]],ML!C:C,ML!A:A,1,0,1)</f>
        <v/>
      </c>
      <c r="I30" s="363" t="inlineStr">
        <is>
          <t>Olnatura Just Justfx Suplemento Glucosamina Condroitina Colágeno 120 Cápsulas Sin Sabor</t>
        </is>
      </c>
      <c r="J30" s="349">
        <f>+_xlfn.XLOOKUP(Tabla4[[#This Row],[Dynamics]],ML!A:A,ML!B:B,1,0,1)</f>
        <v/>
      </c>
      <c r="K30" s="364" t="n">
        <v>1</v>
      </c>
      <c r="L30" s="350" t="n"/>
      <c r="M30" s="337">
        <f>+_xlfn.XLOOKUP(Tabla4[[#This Row],[Dynamics]],ML!A:A,ML!E:E,1,0,1)</f>
        <v/>
      </c>
      <c r="N30" s="475">
        <f>Tabla4[[#This Row],[Cantidad]]*Tabla4[[#This Row],[Costo ]]</f>
        <v/>
      </c>
      <c r="O30" s="476" t="n"/>
      <c r="P30" s="475">
        <f>Tabla4[[#This Row],[Subtotal]]+Tabla4[[#This Row],[Envío]]</f>
        <v/>
      </c>
      <c r="Q30" s="378" t="inlineStr">
        <is>
          <t>OV0028020</t>
        </is>
      </c>
      <c r="R30" s="363" t="inlineStr">
        <is>
          <t>MEL47166401160FMXDF01</t>
        </is>
      </c>
      <c r="S30" s="344" t="n"/>
    </row>
    <row r="31" ht="14" customHeight="1">
      <c r="A31" s="363" t="inlineStr">
        <is>
          <t>28 de mayo de 2026 05:40 hs.</t>
        </is>
      </c>
      <c r="B31" s="354" t="inlineStr">
        <is>
          <t>Mercado Libre</t>
        </is>
      </c>
      <c r="C31" s="354" t="n"/>
      <c r="D31" s="363" t="inlineStr">
        <is>
          <t>28 de mayo de 2026 05:40 hs.</t>
        </is>
      </c>
      <c r="E31" s="376" t="inlineStr">
        <is>
          <t>2000013211170011</t>
        </is>
      </c>
      <c r="F31" s="365" t="n"/>
      <c r="G31" s="363" t="inlineStr">
        <is>
          <t>Ana Maria Vega</t>
        </is>
      </c>
      <c r="H31" s="348">
        <f>+_xlfn.XLOOKUP(Tabla4[[#This Row],[Título de la publicación]],ML!C:C,ML!A:A,1,0,1)</f>
        <v/>
      </c>
      <c r="I31" s="363" t="inlineStr">
        <is>
          <t>Olnatura Justfx 90 Cápsulas De Glucosamina N/a</t>
        </is>
      </c>
      <c r="J31" s="349">
        <f>+_xlfn.XLOOKUP(Tabla4[[#This Row],[Dynamics]],ML!A:A,ML!B:B,1,0,1)</f>
        <v/>
      </c>
      <c r="K31" s="364" t="n">
        <v>1</v>
      </c>
      <c r="L31" s="350" t="n"/>
      <c r="M31" s="337">
        <f>+_xlfn.XLOOKUP(Tabla4[[#This Row],[Dynamics]],ML!A:A,ML!E:E,1,0,1)</f>
        <v/>
      </c>
      <c r="N31" s="475">
        <f>Tabla4[[#This Row],[Cantidad]]*Tabla4[[#This Row],[Costo ]]</f>
        <v/>
      </c>
      <c r="O31" s="476" t="n"/>
      <c r="P31" s="475">
        <f>Tabla4[[#This Row],[Subtotal]]+Tabla4[[#This Row],[Envío]]</f>
        <v/>
      </c>
      <c r="Q31" s="378" t="inlineStr">
        <is>
          <t>OV0028020</t>
        </is>
      </c>
      <c r="R31" s="363" t="inlineStr">
        <is>
          <t>MEL47165920891FMXDF01</t>
        </is>
      </c>
      <c r="S31" s="344" t="n"/>
    </row>
    <row r="32" ht="14" customHeight="1">
      <c r="A32" s="363" t="inlineStr">
        <is>
          <t>28 de mayo de 2026 00:58 hs.</t>
        </is>
      </c>
      <c r="B32" s="354" t="inlineStr">
        <is>
          <t>Mercado Libre</t>
        </is>
      </c>
      <c r="C32" s="354" t="n"/>
      <c r="D32" s="363" t="inlineStr">
        <is>
          <t>28 de mayo de 2026 00:58 hs.</t>
        </is>
      </c>
      <c r="E32" s="376" t="inlineStr">
        <is>
          <t>2000013210014493</t>
        </is>
      </c>
      <c r="F32" s="365" t="n"/>
      <c r="G32" s="363" t="inlineStr">
        <is>
          <t>Karla Paulina Anaya Gil</t>
        </is>
      </c>
      <c r="H32" s="348">
        <f>+_xlfn.XLOOKUP(Tabla4[[#This Row],[Título de la publicación]],ML!C:C,ML!A:A,1,0,1)</f>
        <v/>
      </c>
      <c r="I32" s="363" t="inlineStr">
        <is>
          <t>Olnatura Just Justfx Suplemento Glucosamina Condroitina Colágeno 120 Cápsulas Sin Sabor</t>
        </is>
      </c>
      <c r="J32" s="349">
        <f>+_xlfn.XLOOKUP(Tabla4[[#This Row],[Dynamics]],ML!A:A,ML!B:B,1,0,1)</f>
        <v/>
      </c>
      <c r="K32" s="364" t="n">
        <v>1</v>
      </c>
      <c r="L32" s="350" t="n"/>
      <c r="M32" s="337">
        <f>+_xlfn.XLOOKUP(Tabla4[[#This Row],[Dynamics]],ML!A:A,ML!E:E,1,0,1)</f>
        <v/>
      </c>
      <c r="N32" s="475">
        <f>Tabla4[[#This Row],[Cantidad]]*Tabla4[[#This Row],[Costo ]]</f>
        <v/>
      </c>
      <c r="O32" s="476" t="n"/>
      <c r="P32" s="475">
        <f>Tabla4[[#This Row],[Subtotal]]+Tabla4[[#This Row],[Envío]]</f>
        <v/>
      </c>
      <c r="Q32" s="378" t="inlineStr">
        <is>
          <t>OV0028020</t>
        </is>
      </c>
      <c r="R32" s="363" t="inlineStr">
        <is>
          <t>MEL47165334499FMXDF01</t>
        </is>
      </c>
      <c r="S32" s="344" t="n"/>
    </row>
    <row r="33" ht="14.5" customHeight="1">
      <c r="A33" s="356" t="n"/>
      <c r="B33" s="349" t="n"/>
      <c r="C33" s="349" t="n"/>
      <c r="D33" s="349" t="n"/>
      <c r="E33" s="349" t="n"/>
      <c r="F33" s="357" t="n"/>
      <c r="H33" s="349" t="n"/>
      <c r="I33" s="351" t="n"/>
      <c r="J33" s="360" t="inlineStr">
        <is>
          <t>PRODUCTO</t>
        </is>
      </c>
      <c r="K33" s="360" t="inlineStr">
        <is>
          <t>Suma</t>
        </is>
      </c>
    </row>
    <row r="34" ht="14" customHeight="1">
      <c r="J34" s="167" t="inlineStr">
        <is>
          <t>JUSTFX 120 CAPS</t>
        </is>
      </c>
      <c r="K34" s="167" t="n">
        <v>9</v>
      </c>
    </row>
    <row r="35" ht="14" customHeight="1">
      <c r="J35" s="167" t="inlineStr">
        <is>
          <t>JUSTFX 90 CAPS</t>
        </is>
      </c>
      <c r="K35" s="167" t="n">
        <v>6</v>
      </c>
    </row>
    <row r="36" ht="14" customHeight="1">
      <c r="J36" s="167" t="inlineStr">
        <is>
          <t>COLAGENO TIPO II 90 CAPS</t>
        </is>
      </c>
      <c r="K36" s="167" t="n">
        <v>4</v>
      </c>
    </row>
    <row r="37" ht="14" customHeight="1">
      <c r="J37" s="167" t="inlineStr">
        <is>
          <t>GLUCOSAMINA / CONDROITINA TIBURON 240 TA</t>
        </is>
      </c>
      <c r="K37" s="167" t="n">
        <v>3</v>
      </c>
    </row>
    <row r="38" ht="14" customHeight="1">
      <c r="J38" s="167" t="inlineStr">
        <is>
          <t>COLAGENO TIPO II 30 CAPS</t>
        </is>
      </c>
      <c r="K38" s="167" t="n">
        <v>2</v>
      </c>
    </row>
    <row r="39" ht="14" customHeight="1">
      <c r="J39" s="167" t="inlineStr">
        <is>
          <t>JUSTCOLLAGEN 180 TABS</t>
        </is>
      </c>
      <c r="K39" s="167" t="n">
        <v>12</v>
      </c>
    </row>
    <row r="40" ht="13.5" customHeight="1">
      <c r="J40" s="167" t="inlineStr">
        <is>
          <t>JUSTCOLLAGEN 111 GOMAS</t>
        </is>
      </c>
      <c r="K40" s="167" t="n">
        <v>1</v>
      </c>
    </row>
    <row r="41" ht="13.5" customHeight="1">
      <c r="J41" s="167" t="inlineStr">
        <is>
          <t>GLUCOSAMINA / CONDROITINA BOVINO 410 TAB</t>
        </is>
      </c>
      <c r="K41" s="167" t="n">
        <v>1</v>
      </c>
    </row>
    <row r="42" ht="13.5" customHeight="1">
      <c r="J42" s="167" t="inlineStr">
        <is>
          <t>PROBIÓTICOS + FIBRA 120 GOMAS</t>
        </is>
      </c>
      <c r="K42" s="167" t="n">
        <v>1</v>
      </c>
    </row>
    <row r="43" ht="13.5" customHeight="1">
      <c r="J43" s="167" t="inlineStr">
        <is>
          <t xml:space="preserve">ISOFLAVONAS 90 TAB </t>
        </is>
      </c>
      <c r="K43" s="167" t="n">
        <v>2</v>
      </c>
    </row>
    <row r="44" ht="13.5" customHeight="1">
      <c r="J44" s="167" t="inlineStr">
        <is>
          <t>OMEGA 3 120 GOMAS</t>
        </is>
      </c>
      <c r="K44" s="167" t="n">
        <v>1</v>
      </c>
    </row>
    <row r="45" ht="13.5" customHeight="1">
      <c r="J45" s="167" t="inlineStr">
        <is>
          <t>COLÁGENO+BIOTINA 120 GOMAS</t>
        </is>
      </c>
      <c r="K45" s="167" t="n">
        <v>1</v>
      </c>
    </row>
    <row r="46" ht="13.5" customHeight="1">
      <c r="J46" s="167" t="inlineStr">
        <is>
          <t>JUSTCOLLAGEN 90 TABS</t>
        </is>
      </c>
      <c r="K46" s="167" t="n">
        <v>1</v>
      </c>
    </row>
    <row r="47" ht="13.5" customHeight="1">
      <c r="J47" s="167" t="inlineStr">
        <is>
          <t>BIOTINA 120 GOMAS</t>
        </is>
      </c>
      <c r="K47" s="167" t="n">
        <v>2</v>
      </c>
    </row>
    <row r="48" ht="13.5" customHeight="1">
      <c r="J48" s="360" t="inlineStr">
        <is>
          <t>Total general</t>
        </is>
      </c>
      <c r="K48" s="360" t="n">
        <v>46</v>
      </c>
    </row>
    <row r="49" ht="13.5" customHeight="1"/>
    <row r="50" ht="13.5" customHeight="1"/>
    <row r="51" ht="13.5" customHeight="1"/>
    <row r="52" ht="13.5" customHeight="1"/>
  </sheetData>
  <conditionalFormatting sqref="S2:S32">
    <cfRule type="cellIs" priority="3769" operator="between" dxfId="0">
      <formula>0.01</formula>
      <formula>0.99</formula>
    </cfRule>
    <cfRule type="top10" rank="1" priority="3770" dxfId="0" percent="1"/>
    <cfRule type="top10" rank="1" priority="3771" dxfId="0"/>
  </conditionalFormatting>
  <dataValidations count="1">
    <dataValidation sqref="L2:L32" showDropDown="0" showInputMessage="1" showErrorMessage="0" allowBlank="1" type="decimal">
      <formula1>-2147483648</formula1>
      <formula2>2147483647</formula2>
    </dataValidation>
  </dataValidations>
  <hyperlinks>
    <hyperlink xmlns:r="http://schemas.openxmlformats.org/officeDocument/2006/relationships" ref="E2" location="source=excel" r:id="rId1"/>
    <hyperlink xmlns:r="http://schemas.openxmlformats.org/officeDocument/2006/relationships" ref="E3" location="source=excel" r:id="rId2"/>
    <hyperlink xmlns:r="http://schemas.openxmlformats.org/officeDocument/2006/relationships" ref="E4" location="source=excel" r:id="rId3"/>
    <hyperlink xmlns:r="http://schemas.openxmlformats.org/officeDocument/2006/relationships" ref="E5" location="source=excel" r:id="rId4"/>
    <hyperlink xmlns:r="http://schemas.openxmlformats.org/officeDocument/2006/relationships" ref="E6" location="source=excel" r:id="rId5"/>
    <hyperlink xmlns:r="http://schemas.openxmlformats.org/officeDocument/2006/relationships" ref="E7" location="source=excel" r:id="rId6"/>
    <hyperlink xmlns:r="http://schemas.openxmlformats.org/officeDocument/2006/relationships" ref="E8" location="source=excel" r:id="rId7"/>
    <hyperlink xmlns:r="http://schemas.openxmlformats.org/officeDocument/2006/relationships" ref="E9" location="source=excel" r:id="rId8"/>
    <hyperlink xmlns:r="http://schemas.openxmlformats.org/officeDocument/2006/relationships" ref="E10" location="source=excel" r:id="rId9"/>
    <hyperlink xmlns:r="http://schemas.openxmlformats.org/officeDocument/2006/relationships" ref="E11" location="source=excel" r:id="rId10"/>
    <hyperlink xmlns:r="http://schemas.openxmlformats.org/officeDocument/2006/relationships" ref="E12" location="source=excel" r:id="rId11"/>
    <hyperlink xmlns:r="http://schemas.openxmlformats.org/officeDocument/2006/relationships" ref="E13" location="source=excel" r:id="rId12"/>
    <hyperlink xmlns:r="http://schemas.openxmlformats.org/officeDocument/2006/relationships" ref="E14" location="source=excel" r:id="rId13"/>
    <hyperlink xmlns:r="http://schemas.openxmlformats.org/officeDocument/2006/relationships" ref="E15" location="source=excel" r:id="rId14"/>
    <hyperlink xmlns:r="http://schemas.openxmlformats.org/officeDocument/2006/relationships" ref="E16" location="source=excel" r:id="rId15"/>
    <hyperlink xmlns:r="http://schemas.openxmlformats.org/officeDocument/2006/relationships" ref="E17" location="source=excel" r:id="rId16"/>
    <hyperlink xmlns:r="http://schemas.openxmlformats.org/officeDocument/2006/relationships" ref="E18" location="source=excel" r:id="rId17"/>
    <hyperlink xmlns:r="http://schemas.openxmlformats.org/officeDocument/2006/relationships" ref="E19" location="source=excel" r:id="rId18"/>
    <hyperlink xmlns:r="http://schemas.openxmlformats.org/officeDocument/2006/relationships" ref="E20" location="source=excel" r:id="rId19"/>
    <hyperlink xmlns:r="http://schemas.openxmlformats.org/officeDocument/2006/relationships" ref="E21" location="source=excel" r:id="rId20"/>
    <hyperlink xmlns:r="http://schemas.openxmlformats.org/officeDocument/2006/relationships" ref="E22" location="source=excel" r:id="rId21"/>
    <hyperlink xmlns:r="http://schemas.openxmlformats.org/officeDocument/2006/relationships" ref="E23" location="source=excel" r:id="rId22"/>
    <hyperlink xmlns:r="http://schemas.openxmlformats.org/officeDocument/2006/relationships" ref="E24" location="source=excel" r:id="rId23"/>
    <hyperlink xmlns:r="http://schemas.openxmlformats.org/officeDocument/2006/relationships" ref="E25" location="source=excel" r:id="rId24"/>
    <hyperlink xmlns:r="http://schemas.openxmlformats.org/officeDocument/2006/relationships" ref="E26" location="source=excel" r:id="rId25"/>
    <hyperlink xmlns:r="http://schemas.openxmlformats.org/officeDocument/2006/relationships" ref="E27" location="source=excel" r:id="rId26"/>
    <hyperlink xmlns:r="http://schemas.openxmlformats.org/officeDocument/2006/relationships" ref="E28" location="source=excel" r:id="rId27"/>
    <hyperlink xmlns:r="http://schemas.openxmlformats.org/officeDocument/2006/relationships" ref="E29" location="source=excel" r:id="rId28"/>
    <hyperlink xmlns:r="http://schemas.openxmlformats.org/officeDocument/2006/relationships" ref="E30" location="source=excel" r:id="rId29"/>
    <hyperlink xmlns:r="http://schemas.openxmlformats.org/officeDocument/2006/relationships" ref="E31" location="source=excel" r:id="rId30"/>
    <hyperlink xmlns:r="http://schemas.openxmlformats.org/officeDocument/2006/relationships" ref="E32" location="source=excel" r:id="rId31"/>
  </hyperlinks>
  <pageMargins left="0.7" right="0.7" top="0.75" bottom="0.75" header="0.3" footer="0.3"/>
  <pageSetup orientation="portrait"/>
  <tableParts count="1">
    <tablePart xmlns:r="http://schemas.openxmlformats.org/officeDocument/2006/relationships" r:id="rId3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H15"/>
  <sheetViews>
    <sheetView zoomScale="130" zoomScaleNormal="130" workbookViewId="0">
      <pane ySplit="2" topLeftCell="A9" activePane="bottomLeft" state="frozen"/>
      <selection pane="bottomLeft" activeCell="B9" sqref="B9:B14"/>
    </sheetView>
  </sheetViews>
  <sheetFormatPr baseColWidth="10" defaultColWidth="11.453125" defaultRowHeight="14.5"/>
  <cols>
    <col width="16.453125" bestFit="1" customWidth="1" min="1" max="1"/>
    <col width="45.54296875" bestFit="1" customWidth="1" min="2" max="2"/>
    <col width="10.1796875" customWidth="1" min="3" max="3"/>
    <col width="10" customWidth="1" min="4" max="4"/>
    <col hidden="1" width="11.54296875" customWidth="1" min="5" max="6"/>
    <col width="6.81640625" customWidth="1" min="7" max="7"/>
  </cols>
  <sheetData>
    <row r="1" ht="15.65" customHeight="1" thickBot="1">
      <c r="A1" s="478" t="inlineStr">
        <is>
          <t>LISTADO DE PRECIOS E-COMM PROMOCIÓN ENERO</t>
        </is>
      </c>
      <c r="B1" s="479" t="n"/>
      <c r="C1" s="479" t="n"/>
      <c r="D1" s="480" t="n"/>
      <c r="E1" s="382" t="inlineStr">
        <is>
          <t>-20% DESCUENTO ENERO</t>
        </is>
      </c>
      <c r="F1" s="481" t="n"/>
    </row>
    <row r="2" ht="19.5" customHeight="1" thickBot="1">
      <c r="A2" s="45" t="inlineStr">
        <is>
          <t>PLATAFORMA</t>
        </is>
      </c>
      <c r="B2" s="46" t="inlineStr">
        <is>
          <t>PRODUCTO</t>
        </is>
      </c>
      <c r="C2" s="47" t="inlineStr">
        <is>
          <t>Precio de facturación</t>
        </is>
      </c>
      <c r="D2" s="48" t="inlineStr">
        <is>
          <t>Precio de venta</t>
        </is>
      </c>
      <c r="E2" s="218" t="inlineStr">
        <is>
          <t>Precio de facturación</t>
        </is>
      </c>
      <c r="F2" s="217" t="inlineStr">
        <is>
          <t>Precio de venta</t>
        </is>
      </c>
    </row>
    <row r="3" hidden="1">
      <c r="A3" s="53" t="inlineStr">
        <is>
          <t>AMAZON PRIME</t>
        </is>
      </c>
      <c r="B3" s="55" t="inlineStr">
        <is>
          <t>COLAGENO TIPO II 90 CAPS</t>
        </is>
      </c>
      <c r="C3" s="482">
        <f>D3/1.16</f>
        <v/>
      </c>
      <c r="D3" s="483" t="n">
        <v>997</v>
      </c>
      <c r="E3" s="484">
        <f>F3/1.16</f>
        <v/>
      </c>
      <c r="F3" s="485">
        <f>D3*0.8</f>
        <v/>
      </c>
      <c r="H3" s="486" t="n"/>
    </row>
    <row r="4" hidden="1">
      <c r="A4" s="53" t="inlineStr">
        <is>
          <t>AMAZON PRIME</t>
        </is>
      </c>
      <c r="B4" s="55" t="inlineStr">
        <is>
          <t>GLUCOSAMINA / CONDROITINA BOVINO 410 TAB</t>
        </is>
      </c>
      <c r="C4" s="482">
        <f>D4/1.16</f>
        <v/>
      </c>
      <c r="D4" s="483" t="n">
        <v>943</v>
      </c>
      <c r="E4" s="485">
        <f>F4/1.16</f>
        <v/>
      </c>
      <c r="F4" s="485">
        <f>D4*0.8</f>
        <v/>
      </c>
    </row>
    <row r="5" hidden="1">
      <c r="A5" s="53" t="inlineStr">
        <is>
          <t>AMAZON PRIME</t>
        </is>
      </c>
      <c r="B5" s="55" t="inlineStr">
        <is>
          <t>JUSTBIOH 110 GOMAS</t>
        </is>
      </c>
      <c r="C5" s="482">
        <f>D5/1.16</f>
        <v/>
      </c>
      <c r="D5" s="483" t="n">
        <v>443</v>
      </c>
      <c r="E5" s="485">
        <f>F5/1.16</f>
        <v/>
      </c>
      <c r="F5" s="485">
        <f>D5*0.8</f>
        <v/>
      </c>
    </row>
    <row r="6" hidden="1">
      <c r="A6" s="53" t="inlineStr">
        <is>
          <t>AMAZON PRIME</t>
        </is>
      </c>
      <c r="B6" s="55" t="inlineStr">
        <is>
          <t>JUSTBIOTICS 110 GOMAS</t>
        </is>
      </c>
      <c r="C6" s="482">
        <f>D6/1.16</f>
        <v/>
      </c>
      <c r="D6" s="483" t="n">
        <v>409</v>
      </c>
      <c r="E6" s="485">
        <f>F6/1.16</f>
        <v/>
      </c>
      <c r="F6" s="485">
        <f>D6*0.8</f>
        <v/>
      </c>
    </row>
    <row r="7" hidden="1">
      <c r="A7" s="53" t="inlineStr">
        <is>
          <t>AMAZON PRIME</t>
        </is>
      </c>
      <c r="B7" s="55" t="inlineStr">
        <is>
          <t>JUSTCOLLAGEN 111 GOMAS</t>
        </is>
      </c>
      <c r="C7" s="482">
        <f>D7/1.16</f>
        <v/>
      </c>
      <c r="D7" s="483" t="n">
        <v>390</v>
      </c>
      <c r="E7" s="485">
        <f>F7/1.16</f>
        <v/>
      </c>
      <c r="F7" s="485">
        <f>D7*0.8</f>
        <v/>
      </c>
    </row>
    <row r="8" hidden="1" ht="15" customHeight="1" thickBot="1">
      <c r="A8" s="203" t="inlineStr">
        <is>
          <t>AMAZON PRIME</t>
        </is>
      </c>
      <c r="B8" s="216" t="inlineStr">
        <is>
          <t>JUSTOMEGA-3 110 GOMAS</t>
        </is>
      </c>
      <c r="C8" s="487">
        <f>D8/1.16</f>
        <v/>
      </c>
      <c r="D8" s="488" t="n">
        <v>390</v>
      </c>
      <c r="E8" s="489">
        <f>F8/1.16</f>
        <v/>
      </c>
      <c r="F8" s="489">
        <f>D8*0.8</f>
        <v/>
      </c>
    </row>
    <row r="9">
      <c r="A9" s="267" t="inlineStr">
        <is>
          <t>AMAZON VENDEDOR</t>
        </is>
      </c>
      <c r="B9" s="266" t="inlineStr">
        <is>
          <t>COLAGENO TIPO II 90 CAPS</t>
        </is>
      </c>
      <c r="C9" s="490">
        <f>D9/1.16</f>
        <v/>
      </c>
      <c r="D9" s="483" t="n">
        <v>1063</v>
      </c>
      <c r="E9" s="485">
        <f>F9/1.16</f>
        <v/>
      </c>
      <c r="F9" s="485">
        <f>D9*0.8</f>
        <v/>
      </c>
      <c r="H9" s="486" t="n"/>
    </row>
    <row r="10">
      <c r="A10" s="210" t="inlineStr">
        <is>
          <t>AMAZON VENDEDOR</t>
        </is>
      </c>
      <c r="B10" s="213" t="inlineStr">
        <is>
          <t>GLUCOSAMINA / CONDROITINA BOVINO 410 TAB</t>
        </is>
      </c>
      <c r="C10" s="490">
        <f>D10/1.16</f>
        <v/>
      </c>
      <c r="D10" s="483" t="n">
        <v>943</v>
      </c>
      <c r="E10" s="485">
        <f>F10/1.16</f>
        <v/>
      </c>
      <c r="F10" s="485">
        <f>D10*0.8</f>
        <v/>
      </c>
    </row>
    <row r="11">
      <c r="A11" s="210" t="inlineStr">
        <is>
          <t>AMAZON VENDEDOR</t>
        </is>
      </c>
      <c r="B11" s="213" t="inlineStr">
        <is>
          <t>JUSTBIOTICS 110 GOMAS</t>
        </is>
      </c>
      <c r="C11" s="490">
        <f>D11/1.16</f>
        <v/>
      </c>
      <c r="D11" s="483" t="n">
        <v>409</v>
      </c>
      <c r="E11" s="485">
        <f>F11/1.16</f>
        <v/>
      </c>
      <c r="F11" s="485">
        <f>D11*0.8</f>
        <v/>
      </c>
    </row>
    <row r="12">
      <c r="A12" s="210" t="inlineStr">
        <is>
          <t>AMAZON VENDEDOR</t>
        </is>
      </c>
      <c r="B12" s="213" t="inlineStr">
        <is>
          <t>JUSTCOLLAGEN 111 GOMAS</t>
        </is>
      </c>
      <c r="C12" s="490">
        <f>D12/1.16</f>
        <v/>
      </c>
      <c r="D12" s="483" t="n">
        <v>390</v>
      </c>
      <c r="E12" s="485">
        <f>F12/1.16</f>
        <v/>
      </c>
      <c r="F12" s="485">
        <f>D12*0.8</f>
        <v/>
      </c>
    </row>
    <row r="13">
      <c r="A13" s="210" t="inlineStr">
        <is>
          <t>AMAZON VENDEDOR</t>
        </is>
      </c>
      <c r="B13" s="213" t="inlineStr">
        <is>
          <t>JUSTBIOH 110 GOMAS</t>
        </is>
      </c>
      <c r="C13" s="490">
        <f>D13/1.16</f>
        <v/>
      </c>
      <c r="D13" s="483" t="n">
        <v>443</v>
      </c>
      <c r="E13" s="485">
        <f>F13/1.16</f>
        <v/>
      </c>
      <c r="F13" s="485">
        <f>D13*0.8</f>
        <v/>
      </c>
    </row>
    <row r="14" ht="15" customHeight="1" thickBot="1">
      <c r="A14" s="208" t="inlineStr">
        <is>
          <t>AMAZON VENDEDOR</t>
        </is>
      </c>
      <c r="B14" s="207" t="inlineStr">
        <is>
          <t>JUSTOMEGA-3 110 GOMAS</t>
        </is>
      </c>
      <c r="C14" s="491">
        <f>D14/1.16</f>
        <v/>
      </c>
      <c r="D14" s="488" t="n">
        <v>390</v>
      </c>
      <c r="E14" s="489">
        <f>F14/1.16</f>
        <v/>
      </c>
      <c r="F14" s="489">
        <f>D14*0.8</f>
        <v/>
      </c>
    </row>
    <row r="15">
      <c r="C15" s="384" t="n"/>
      <c r="D15" s="492" t="n"/>
    </row>
  </sheetData>
  <autoFilter ref="A2:F15">
    <filterColumn colId="0" hiddenButton="0" showButton="1">
      <filters blank="1">
        <filter val="AMAZON VENDEDOR"/>
      </filters>
    </filterColumn>
  </autoFilter>
  <mergeCells count="3">
    <mergeCell ref="A1:D1"/>
    <mergeCell ref="E1:F1"/>
    <mergeCell ref="C15:D15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5"/>
  <sheetViews>
    <sheetView zoomScale="130" zoomScaleNormal="130" workbookViewId="0">
      <selection activeCell="A11" sqref="A11"/>
    </sheetView>
  </sheetViews>
  <sheetFormatPr baseColWidth="10" defaultColWidth="11.453125" defaultRowHeight="14"/>
  <cols>
    <col width="19.1796875" bestFit="1" customWidth="1" style="167" min="1" max="1"/>
    <col width="37.54296875" bestFit="1" customWidth="1" style="167" min="2" max="2"/>
    <col hidden="1" width="115.81640625" customWidth="1" style="167" min="3" max="3"/>
    <col width="15.26953125" bestFit="1" customWidth="1" style="167" min="4" max="4"/>
    <col width="17.26953125" bestFit="1" customWidth="1" style="167" min="5" max="5"/>
    <col width="11.453125" customWidth="1" style="167" min="6" max="16384"/>
  </cols>
  <sheetData>
    <row r="1" ht="20.25" customHeight="1">
      <c r="A1" s="230" t="inlineStr">
        <is>
          <t>AMAZON</t>
        </is>
      </c>
      <c r="B1" s="385" t="n"/>
    </row>
    <row r="2" ht="15.75" customHeight="1">
      <c r="A2" s="385" t="n"/>
      <c r="B2" s="385" t="n"/>
    </row>
    <row r="3" ht="21" customHeight="1">
      <c r="A3" s="182" t="inlineStr">
        <is>
          <t>CÓDIGO</t>
        </is>
      </c>
      <c r="B3" s="182" t="inlineStr">
        <is>
          <t>PRODUCTO</t>
        </is>
      </c>
      <c r="C3" s="182" t="inlineStr">
        <is>
          <t>TÍTULO PUBLICACIÓN</t>
        </is>
      </c>
      <c r="D3" s="183" t="inlineStr">
        <is>
          <t>Precio de facturación</t>
        </is>
      </c>
      <c r="E3" s="183" t="inlineStr">
        <is>
          <t>Precio de venta</t>
        </is>
      </c>
    </row>
    <row r="4">
      <c r="A4" s="184" t="n">
        <v>503635000200</v>
      </c>
      <c r="B4" s="223" t="inlineStr">
        <is>
          <t>COLAGENO EN POLVO 210 GR</t>
        </is>
      </c>
      <c r="C4" s="223" t="inlineStr">
        <is>
          <t>Colágeno Hidrolizado Premium JustCollagen Polvo 210 gramos con Prebióticos FOS, Vitamina B3, Vitamina C, Zinc, Sin Grasas, Azúcar, Sodio y Lácteos, Sabor Fresa.</t>
        </is>
      </c>
      <c r="D4" s="493" t="n">
        <v>361.21</v>
      </c>
      <c r="E4" s="493" t="n">
        <v>366.0031999999999</v>
      </c>
    </row>
    <row r="5">
      <c r="A5" s="184" t="n">
        <v>503635000606</v>
      </c>
      <c r="B5" s="223" t="inlineStr">
        <is>
          <t>COLAGENO TIPO II 90 CAPS</t>
        </is>
      </c>
      <c r="C5" s="223" t="inlineStr">
        <is>
          <t>Colágeno Tipo II Premium. Sin Desnaturalizar 90 Cápsulas + Vitamina E, Manganeso</t>
        </is>
      </c>
      <c r="D5" s="493" t="n">
        <v>939.651</v>
      </c>
      <c r="E5" s="493" t="n">
        <v>1063.0008</v>
      </c>
    </row>
    <row r="6">
      <c r="A6" s="184" t="n">
        <v>503635000606</v>
      </c>
      <c r="B6" s="223" t="inlineStr">
        <is>
          <t>COLAGENO TIPO II 90 CAPS</t>
        </is>
      </c>
      <c r="C6" s="223" t="inlineStr">
        <is>
          <t>Colágeno Tipo II Premium. Sin Desnaturalizar 90 Cápsulas + Vitamina E, Manganeso.</t>
        </is>
      </c>
      <c r="D6" s="493" t="n">
        <v>939.651</v>
      </c>
      <c r="E6" s="493" t="n"/>
    </row>
    <row r="7">
      <c r="A7" s="184" t="n">
        <v>503635000606</v>
      </c>
      <c r="B7" s="223" t="inlineStr">
        <is>
          <t>COLAGENO TIPO II 90 CAPS</t>
        </is>
      </c>
      <c r="C7" s="223" t="inlineStr">
        <is>
          <t>Colágeno Tipo II Premium. Sin Desnaturalizar 90 Cápsulas + Vitamina E, Manganeso.</t>
        </is>
      </c>
      <c r="D7" s="493" t="n">
        <v>939.651</v>
      </c>
      <c r="E7" s="493" t="n"/>
    </row>
    <row r="8">
      <c r="A8" s="184" t="n">
        <v>503635005100</v>
      </c>
      <c r="B8" s="223" t="inlineStr">
        <is>
          <t>COLAGENO TIPO II 30 CAPS</t>
        </is>
      </c>
      <c r="C8" s="223" t="inlineStr">
        <is>
          <t>Colágeno Tipo II Premium. Sin Desnaturalizar con Vitamina E y Manganeso 30 Cápsulas para - Olnatura Just</t>
        </is>
      </c>
      <c r="D8" s="493" t="n">
        <v>357.76</v>
      </c>
      <c r="E8" s="493" t="n">
        <v>529.0064</v>
      </c>
    </row>
    <row r="9">
      <c r="A9" s="184" t="n">
        <v>503635009800</v>
      </c>
      <c r="B9" s="223" t="inlineStr">
        <is>
          <t>COLAGENO TIPO II 30 CAPS</t>
        </is>
      </c>
      <c r="C9" s="223" t="inlineStr">
        <is>
          <t>Colï¿½geno Tipo II Premium. Sin Desnaturalizarcon Vitamina E y Manganeso 30 Cï¿½psulas para- Olnatura Just</t>
        </is>
      </c>
      <c r="D9" s="493" t="n">
        <v>357.76</v>
      </c>
      <c r="E9" s="493" t="n"/>
    </row>
    <row r="10">
      <c r="A10" s="184" t="n">
        <v>503635009800</v>
      </c>
      <c r="B10" s="223" t="inlineStr">
        <is>
          <t>COLAGENO TIPO II 30 CAPS</t>
        </is>
      </c>
      <c r="C10" s="223" t="inlineStr">
        <is>
          <t>Colï¿½geno Tipo II Premium. Sin Desnaturalizar con Vitamina E y Manganeso 30 Cï¿½psulas para - Olnatura Just</t>
        </is>
      </c>
      <c r="D10" s="493" t="n">
        <v>357.76</v>
      </c>
      <c r="E10" s="493" t="n"/>
    </row>
    <row r="11">
      <c r="A11" s="184" t="n">
        <v>503635009800</v>
      </c>
      <c r="B11" s="223" t="inlineStr">
        <is>
          <t>COLAGENO TIPO II 30 CAPS</t>
        </is>
      </c>
      <c r="C11" s="223" t="inlineStr">
        <is>
          <t>Colágeno Tipo II Premium. Sin Desnaturalizar con Vitamina E y Manganeso 30 Cápsulas para - Olnatura Just</t>
        </is>
      </c>
      <c r="D11" s="493" t="n">
        <v>357.76</v>
      </c>
      <c r="E11" s="493" t="n"/>
    </row>
    <row r="12">
      <c r="A12" s="184" t="n">
        <v>503635000300</v>
      </c>
      <c r="B12" s="223" t="inlineStr">
        <is>
          <t>GLUCOSAMINA / CONDROITINA BOVINO 410 TAB</t>
        </is>
      </c>
      <c r="C12" s="223" t="inlineStr">
        <is>
          <t>Glucosamina Condroitina Premium, con Boro y Manganeso 410 tabletas SIN AZÚCAR, SIN SODIO y SIN GLUTEN</t>
        </is>
      </c>
      <c r="D12" s="493" t="n">
        <v>861.21</v>
      </c>
      <c r="E12" s="493" t="n">
        <v>942.9987999999998</v>
      </c>
    </row>
    <row r="13">
      <c r="A13" s="184" t="n">
        <v>503635003900</v>
      </c>
      <c r="B13" s="223" t="inlineStr">
        <is>
          <t>JUSTCETRUX 180</t>
        </is>
      </c>
      <c r="C13" s="223" t="inlineStr">
        <is>
          <t>JustCetrux 180 tabletas de Vitamina C + Vitamina A, Fibra Soluble, Zinc y Cobre, Sabor Manzana Verde. Suplemento Alimenticio.</t>
        </is>
      </c>
      <c r="D13" s="493" t="n">
        <v>180.17</v>
      </c>
      <c r="E13" s="493" t="n"/>
    </row>
    <row r="14">
      <c r="A14" s="184" t="n">
        <v>503635002000</v>
      </c>
      <c r="B14" s="223" t="inlineStr">
        <is>
          <t>JUSTBIOTICS 110 GOMAS</t>
        </is>
      </c>
      <c r="C14" s="223" t="inlineStr">
        <is>
          <t>Probióticos Premium JustBiotics 110 gomitas con 100 millones de Lactobacilos Esporulados, Sabor Arándano.</t>
        </is>
      </c>
      <c r="D14" s="493" t="n">
        <v>361.21</v>
      </c>
      <c r="E14" s="493" t="n">
        <v>409.0043999999999</v>
      </c>
    </row>
    <row r="15">
      <c r="A15" s="184" t="n">
        <v>503635696000</v>
      </c>
      <c r="B15" s="223" t="inlineStr">
        <is>
          <t>JUSTFIBRA 120 TABS</t>
        </is>
      </c>
      <c r="C15" s="223" t="inlineStr">
        <is>
          <t>JustFibra 120 tabletas de Fibra Dietética, Lactobacilos, Guayaba, Piña y Hierbabuena. Sin azúcar, sin grasas y sin sodio.</t>
        </is>
      </c>
      <c r="D15" s="493" t="n">
        <v>375</v>
      </c>
      <c r="E15" s="493" t="n"/>
    </row>
    <row r="16">
      <c r="A16" s="184" t="n">
        <v>503635001700</v>
      </c>
      <c r="B16" s="223" t="inlineStr">
        <is>
          <t>JUSTCOLLAGEN 111 GOMAS</t>
        </is>
      </c>
      <c r="C16" s="223" t="inlineStr">
        <is>
          <t>Colágeno Hidrolizado Premium JustCollagen 111 gomitas, Sabor Frutos Rojos.</t>
        </is>
      </c>
      <c r="D16" s="493" t="n">
        <v>361.21</v>
      </c>
      <c r="E16" s="493" t="n">
        <v>390.0035999999999</v>
      </c>
    </row>
    <row r="17">
      <c r="A17" s="184" t="n">
        <v>503635001700</v>
      </c>
      <c r="B17" s="223" t="inlineStr">
        <is>
          <t>JUSTCOLLAGEN 111 GOMAS</t>
        </is>
      </c>
      <c r="C17" s="223" t="inlineStr">
        <is>
          <t>Colï¿½geno Hidrolizado Premium JustCollagen 111 gomitas, Sabor Frutos Rojos.</t>
        </is>
      </c>
      <c r="D17" s="493" t="n">
        <v>361.21</v>
      </c>
      <c r="E17" s="493" t="n"/>
    </row>
    <row r="18">
      <c r="A18" s="184" t="n">
        <v>503635001600</v>
      </c>
      <c r="B18" s="223" t="inlineStr">
        <is>
          <t>JUSTBIOH 110 GOMAS</t>
        </is>
      </c>
      <c r="C18" s="223" t="inlineStr">
        <is>
          <t>Biotina Premium + Arándano JustBio H 110 gomitas, Sabor Frambuesa.</t>
        </is>
      </c>
      <c r="D18" s="493" t="n">
        <v>361.21</v>
      </c>
      <c r="E18" s="493" t="n">
        <v>443.004</v>
      </c>
    </row>
    <row r="19">
      <c r="A19" s="184" t="n">
        <v>503635002600</v>
      </c>
      <c r="B19" s="223" t="inlineStr">
        <is>
          <t>JUSTCOLLAGEN 180 TABS</t>
        </is>
      </c>
      <c r="C19" s="223" t="inlineStr">
        <is>
          <t>Colágeno Hidrolizado Premium JustCollagen 180 Tabletas con Biotina, Calcio, Vitamina C, Vitamina E y Vitamina K</t>
        </is>
      </c>
      <c r="D19" s="493" t="n">
        <v>350</v>
      </c>
      <c r="E19" s="493" t="n">
        <v>395.0031999999999</v>
      </c>
    </row>
    <row r="20">
      <c r="A20" s="184" t="n">
        <v>503635002600</v>
      </c>
      <c r="B20" s="223" t="inlineStr">
        <is>
          <t>JUSTCOLLAGEN 180 TABS</t>
        </is>
      </c>
      <c r="C20" s="223" t="inlineStr">
        <is>
          <t>Olnatura Just - Colágeno Hidrolizado Premium JustCollagen 180 Tabletas con Biotina, Calcio, Vitamina C, Vitamina E y Vitamina K.</t>
        </is>
      </c>
      <c r="D20" s="493" t="n">
        <v>350</v>
      </c>
      <c r="E20" s="493" t="n"/>
    </row>
    <row r="21">
      <c r="A21" s="184" t="n">
        <v>503635002600</v>
      </c>
      <c r="B21" s="223" t="inlineStr">
        <is>
          <t>JUSTCOLLAGEN 180 TABS</t>
        </is>
      </c>
      <c r="C21" s="223" t="inlineStr">
        <is>
          <t>Olnatura Just - Colágeno Hidrolizado Premium JustCollagen 180 Tabletas con Biotina, Calcio, Vitamina C, Vitamina E y Vitamina K.</t>
        </is>
      </c>
      <c r="D21" s="493" t="n">
        <v>350</v>
      </c>
      <c r="E21" s="493" t="n"/>
    </row>
    <row r="22">
      <c r="A22" s="184" t="n">
        <v>503635002600</v>
      </c>
      <c r="B22" s="223" t="inlineStr">
        <is>
          <t>JUSTCOLLAGEN 180 TABS</t>
        </is>
      </c>
      <c r="C22" s="223" t="inlineStr">
        <is>
          <t>Olnatura Just - Colï¿½geno Hidrolizado Premium JustCollagen 180 Tabletas con Biotina, Calcio, Vitamina C, Vitamina E y Vitamina K.</t>
        </is>
      </c>
      <c r="D22" s="493" t="n">
        <v>350</v>
      </c>
      <c r="E22" s="493" t="n"/>
    </row>
    <row r="23">
      <c r="A23" s="184" t="n">
        <v>503635002600</v>
      </c>
      <c r="B23" s="223" t="inlineStr">
        <is>
          <t>JUSTCOLLAGEN 180 TABS</t>
        </is>
      </c>
      <c r="C23" s="223" t="inlineStr">
        <is>
          <t>Colágeno Hidrolizado Premium JustCollagen 180 Tabletas con Biotina, Calcio, Vitamina C, Vitamina E y Vitamina K.</t>
        </is>
      </c>
      <c r="D23" s="493" t="n">
        <v>350</v>
      </c>
      <c r="E23" s="493" t="n"/>
    </row>
    <row r="24">
      <c r="A24" s="184" t="n">
        <v>503635000501</v>
      </c>
      <c r="B24" s="223" t="inlineStr">
        <is>
          <t>JUSTCOLLAGEN 90 TABS</t>
        </is>
      </c>
      <c r="C24" s="223" t="inlineStr">
        <is>
          <t>Colï¿½geno Hidrolizado Premium JustCollagen 90 Tabletas con Biotina, Calcio, Vitamina C, Vitamina E y Vitamina K.</t>
        </is>
      </c>
      <c r="D24" s="493" t="n">
        <v>241.38</v>
      </c>
      <c r="E24" s="493" t="n"/>
    </row>
    <row r="25">
      <c r="A25" s="184" t="n">
        <v>503635000501</v>
      </c>
      <c r="B25" s="223" t="inlineStr">
        <is>
          <t>JUSTCOLLAGEN 90 TABS</t>
        </is>
      </c>
      <c r="C25" s="223" t="inlineStr">
        <is>
          <t>Colágeno Hidrolizado Premium JustCollagen 90 Tabletas con Biotina, Ca</t>
        </is>
      </c>
      <c r="D25" s="493" t="n">
        <v>241.38</v>
      </c>
      <c r="E25" s="493" t="n">
        <v>246.9988</v>
      </c>
    </row>
    <row r="26">
      <c r="A26" s="184" t="n">
        <v>503635000501</v>
      </c>
      <c r="B26" s="223" t="inlineStr">
        <is>
          <t>JUSTCOLLAGEN 90 TABS</t>
        </is>
      </c>
      <c r="C26" s="223" t="inlineStr">
        <is>
          <t>Colágeno Hidrolizado Premium JustCollagen 90 Tabletas con Biotina, Calcio, Vitamina C, Vitamina E y Vitamina K.</t>
        </is>
      </c>
      <c r="D26" s="493" t="n">
        <v>241.38</v>
      </c>
      <c r="E26" s="493" t="n"/>
    </row>
    <row r="27">
      <c r="A27" s="184" t="n">
        <v>503635000705</v>
      </c>
      <c r="B27" s="223" t="inlineStr">
        <is>
          <t>JUSTFX 120 CAPS</t>
        </is>
      </c>
      <c r="C27" s="223" t="inlineStr">
        <is>
          <t>Glucosamina Condroitina Premium JustFx 120cápsulas con Ácido Hialurónico, ColágenoHidrolizado, Zinc y Boro.</t>
        </is>
      </c>
      <c r="D27" s="493" t="n">
        <v>550</v>
      </c>
      <c r="E27" s="493" t="n">
        <v>507.0012</v>
      </c>
    </row>
    <row r="28">
      <c r="A28" s="184" t="n">
        <v>503635000705</v>
      </c>
      <c r="B28" s="223" t="inlineStr">
        <is>
          <t>JUSTFX 120 CAPS</t>
        </is>
      </c>
      <c r="C28" s="223" t="inlineStr">
        <is>
          <t>Olnatura Just - Glucosamina Condroitina Premium JustFx 120 cï¿½psulas con ï¿½cido Hialurï¿½nico, Colï¿½geno Hidrolizado, Zinc y Boro.</t>
        </is>
      </c>
      <c r="D28" s="493" t="n">
        <v>550</v>
      </c>
      <c r="E28" s="493" t="n"/>
    </row>
    <row r="29">
      <c r="A29" s="184" t="n">
        <v>503635000705</v>
      </c>
      <c r="B29" s="223" t="inlineStr">
        <is>
          <t>JUSTFX 120 CAPS</t>
        </is>
      </c>
      <c r="C29" s="223" t="inlineStr">
        <is>
          <t>Olnatura Just - Glucosamina CondroitinaPremium JustFx 120 cápsulas con ÁcidoHialurónico, Colágeno Hidrolizado, Zinc y Boro.</t>
        </is>
      </c>
      <c r="D29" s="493" t="n">
        <v>550</v>
      </c>
      <c r="E29" s="493" t="n"/>
    </row>
    <row r="30">
      <c r="A30" s="184" t="n">
        <v>503635000705</v>
      </c>
      <c r="B30" s="223" t="inlineStr">
        <is>
          <t>JUSTFX 120 CAPS</t>
        </is>
      </c>
      <c r="C30" s="223" t="inlineStr">
        <is>
          <t>Olnatura Just - Glucosamina Condroitina Premium JustFx 120 cápsulas con Ácido Hialurónico, Colágeno Hidrolizado, Zinc y Boro.</t>
        </is>
      </c>
      <c r="D30" s="493" t="n">
        <v>550</v>
      </c>
      <c r="E30" s="493" t="n"/>
    </row>
    <row r="31">
      <c r="A31" s="184" t="n">
        <v>503635000705</v>
      </c>
      <c r="B31" s="223" t="inlineStr">
        <is>
          <t>JUSTFX 120 CAPS</t>
        </is>
      </c>
      <c r="C31" s="223" t="inlineStr">
        <is>
          <t>Glucosamina Condroitina Premium JustFx 120 cápsulas con Ácido Hialurónico, Colágeno Hidrolizado, Zinc y Boro.</t>
        </is>
      </c>
      <c r="D31" s="493" t="n">
        <v>550</v>
      </c>
      <c r="E31" s="493" t="n"/>
    </row>
    <row r="32">
      <c r="A32" s="184" t="n">
        <v>503635000900</v>
      </c>
      <c r="B32" s="223" t="inlineStr">
        <is>
          <t>JUSTFX 90 CAPS</t>
        </is>
      </c>
      <c r="C32" s="223" t="inlineStr">
        <is>
          <t>Glucosamina Condroitina Premium JustFx 90 cápsulas con Ácido Hialurónico, Colágeno Hidrolizado, Zinc y Boro.</t>
        </is>
      </c>
      <c r="D32" s="493" t="n">
        <v>375</v>
      </c>
      <c r="E32" s="493" t="n"/>
    </row>
    <row r="33">
      <c r="A33" s="184" t="n">
        <v>503635000900</v>
      </c>
      <c r="B33" s="223" t="inlineStr">
        <is>
          <t>JUSTFX 90 CAPS</t>
        </is>
      </c>
      <c r="C33" s="223" t="inlineStr">
        <is>
          <t>Glucosamina Condroitina Premium JustFx 90 cï¿½psulas con ï¿½cido Hialurï¿½nico</t>
        </is>
      </c>
      <c r="D33" s="493" t="n">
        <v>375</v>
      </c>
      <c r="E33" s="493" t="n"/>
    </row>
    <row r="34">
      <c r="A34" s="184" t="n">
        <v>503635000900</v>
      </c>
      <c r="B34" s="223" t="inlineStr">
        <is>
          <t>JUSTFX 90 CAPS</t>
        </is>
      </c>
      <c r="C34" s="223" t="inlineStr">
        <is>
          <t>Glucosamina Condroitina Premium JustFx 90cápsulas con Ácido Hialurónico, ColágenoHidrolizado, Zinc y Boro.</t>
        </is>
      </c>
      <c r="D34" s="493" t="n">
        <v>375</v>
      </c>
      <c r="E34" s="493" t="n"/>
    </row>
    <row r="35">
      <c r="A35" s="184" t="n">
        <v>503635000900</v>
      </c>
      <c r="B35" s="223" t="inlineStr">
        <is>
          <t>JUSTFX 90 CAPS</t>
        </is>
      </c>
      <c r="C35" s="223" t="inlineStr">
        <is>
          <t>Glucosamina Condroitina Premium JustFx 90 cápsulas con Ácido Hialurónico, ColágenoHidrolizado, Zinc y Boro.</t>
        </is>
      </c>
      <c r="D35" s="493" t="n">
        <v>375</v>
      </c>
      <c r="E35" s="493" t="n">
        <v>390.0035999999999</v>
      </c>
    </row>
    <row r="36">
      <c r="A36" s="184" t="n">
        <v>503635001800</v>
      </c>
      <c r="B36" s="223" t="inlineStr">
        <is>
          <t>JUSTOMEGA-3 110 GOMAS</t>
        </is>
      </c>
      <c r="C36" s="223" t="inlineStr">
        <is>
          <t>Omega 3, DHA y EPA (Ácidos Grasos Esenciales) Premium JustOmega 3 110 gomitas Sabor Mandarina.</t>
        </is>
      </c>
      <c r="D36" s="493" t="n">
        <v>361.21</v>
      </c>
      <c r="E36" s="493" t="n">
        <v>390.0035999999999</v>
      </c>
    </row>
    <row r="37">
      <c r="A37" s="184" t="n">
        <v>503635004300</v>
      </c>
      <c r="B37" s="223" t="inlineStr">
        <is>
          <t>OMEGA 3 120 GOMAS</t>
        </is>
      </c>
      <c r="C37" s="223" t="inlineStr">
        <is>
          <t>Omega 3, DHA y EPA 120 gomitas de ácidos grasas escenciales sin grasas, sin sodio, sin gluten - Olnatura Just</t>
        </is>
      </c>
      <c r="D37" s="493" t="n">
        <v>272.41</v>
      </c>
      <c r="E37" s="493" t="n"/>
    </row>
    <row r="38">
      <c r="A38" s="184" t="n">
        <v>503635004300</v>
      </c>
      <c r="B38" s="223" t="inlineStr">
        <is>
          <t>OMEGA 3 120 GOMAS</t>
        </is>
      </c>
      <c r="C38" s="223" t="inlineStr">
        <is>
          <t>Omega 3, DHA y EPA 120 gomitas de ï¿½cidos grasas escenciales sin grasas, sin sodio, sin gluten - Olnatura Just</t>
        </is>
      </c>
      <c r="D38" s="493" t="n">
        <v>272.41</v>
      </c>
      <c r="E38" s="493" t="n"/>
    </row>
    <row r="39">
      <c r="A39" s="184" t="n">
        <v>503635001301</v>
      </c>
      <c r="B39" s="223" t="inlineStr">
        <is>
          <t>PROBIOTICOS GUMMYCARE 60 GOMAS</t>
        </is>
      </c>
      <c r="C39" s="223" t="inlineStr">
        <is>
          <t>Probióticos Premium SIN AZÚCAR, Gummy Care 60 gomitas de 120 millones de Lactobacilos Esporulados + Prebióticos, Sabor Mango-Yogurth.</t>
        </is>
      </c>
      <c r="D39" s="493" t="n">
        <v>343.1</v>
      </c>
      <c r="E39" s="493" t="n">
        <v>362.9988</v>
      </c>
    </row>
    <row r="40">
      <c r="A40" s="184" t="n">
        <v>503635005400</v>
      </c>
      <c r="B40" s="223" t="inlineStr">
        <is>
          <t>JUSTOLFOCUS 90 CAPS</t>
        </is>
      </c>
      <c r="C40" s="223" t="inlineStr">
        <is>
          <t>JustOlfocus 90 cápsulas de Glutamina, Fosfatidilserina, Zinc, Magnesio y 7 vitaminas, sin azúcar y sin sodio.</t>
        </is>
      </c>
      <c r="D40" s="493" t="n">
        <v>425</v>
      </c>
      <c r="E40" s="493" t="n"/>
    </row>
    <row r="41">
      <c r="A41" s="184" t="n">
        <v>503635004500</v>
      </c>
      <c r="B41" s="223" t="inlineStr">
        <is>
          <t>COLÁGENO+BIOTINA 120 GOMAS</t>
        </is>
      </c>
      <c r="C41" s="223" t="inlineStr">
        <is>
          <t>Colágeno + Biotina 120 gomitas Olnatura Just, sabor frutos rojos</t>
        </is>
      </c>
      <c r="D41" s="493" t="n">
        <v>272.41</v>
      </c>
      <c r="E41" s="493" t="n"/>
    </row>
    <row r="42">
      <c r="A42" s="184" t="n">
        <v>503635004500</v>
      </c>
      <c r="B42" s="223" t="inlineStr">
        <is>
          <t>COLÁGENO+BIOTINA 120 GOMAS</t>
        </is>
      </c>
      <c r="C42" s="223" t="inlineStr">
        <is>
          <t>Colï¿½geno + Biotina 120 gomitas Olnatura Just, sabor frutos rojos</t>
        </is>
      </c>
      <c r="D42" s="493" t="n">
        <v>272.41</v>
      </c>
      <c r="E42" s="493" t="n"/>
    </row>
    <row r="43">
      <c r="A43" s="184" t="inlineStr">
        <is>
          <t>503635695900</t>
        </is>
      </c>
      <c r="B43" s="223" t="inlineStr">
        <is>
          <t>JUSTFIBRA 30 TABS</t>
        </is>
      </c>
      <c r="C43" s="223" t="inlineStr">
        <is>
          <t>JustFibra 30 tabletas de Fibra Dietética, Lactobacilos, Guayaba, Piña y Hierbabuena. Sin azúcar, sin grasas y sin sodio.</t>
        </is>
      </c>
      <c r="D43" s="493" t="n">
        <v>105.17</v>
      </c>
      <c r="E43" s="493" t="n"/>
    </row>
    <row r="44">
      <c r="A44" s="184" t="n">
        <v>503635004600</v>
      </c>
      <c r="B44" s="223" t="inlineStr">
        <is>
          <t>BIOTINA 120 GOMAS</t>
        </is>
      </c>
      <c r="C44" s="223" t="inlineStr">
        <is>
          <t>Biotina + Arï¿½ndano 120 gomitas sin grasas, sin sodio, sin gluten - Olnatura Just</t>
        </is>
      </c>
      <c r="D44" s="493" t="n">
        <v>272.41</v>
      </c>
      <c r="E44" s="493" t="n"/>
    </row>
    <row r="45">
      <c r="A45" s="187" t="n">
        <v>503635004600</v>
      </c>
      <c r="B45" s="223" t="inlineStr">
        <is>
          <t>BIOTINA 120 GOMAS</t>
        </is>
      </c>
      <c r="C45" s="223" t="inlineStr">
        <is>
          <t>Biotina + Arándano 120 gomitas sin grasas, sin sodio, sin gluten - Olnatura Just</t>
        </is>
      </c>
      <c r="D45" s="493" t="n">
        <v>272.41</v>
      </c>
      <c r="E45" s="493" t="n">
        <v>279.0032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0"/>
  <sheetViews>
    <sheetView showGridLines="0" zoomScale="115" zoomScaleNormal="115" workbookViewId="0">
      <pane ySplit="3" topLeftCell="A4" activePane="bottomLeft" state="frozen"/>
      <selection activeCell="H22" sqref="H22"/>
      <selection pane="bottomLeft" activeCell="B44" sqref="B44:B47"/>
    </sheetView>
  </sheetViews>
  <sheetFormatPr baseColWidth="10" defaultColWidth="8.453125" defaultRowHeight="14"/>
  <cols>
    <col width="19.81640625" bestFit="1" customWidth="1" style="167" min="1" max="1"/>
    <col width="39.1796875" bestFit="1" customWidth="1" style="167" min="2" max="2"/>
    <col width="81" bestFit="1" customWidth="1" style="167" min="3" max="3"/>
    <col width="22.81640625" bestFit="1" customWidth="1" style="167" min="4" max="4"/>
    <col width="21.54296875" bestFit="1" customWidth="1" style="167" min="5" max="5"/>
    <col width="17.26953125" bestFit="1" customWidth="1" style="167" min="6" max="6"/>
    <col width="16.1796875" bestFit="1" customWidth="1" style="167" min="7" max="7"/>
    <col width="8.453125" customWidth="1" style="167" min="8" max="16384"/>
  </cols>
  <sheetData>
    <row r="1">
      <c r="A1" s="385" t="inlineStr">
        <is>
          <t>MERCADO LIBRE</t>
        </is>
      </c>
    </row>
    <row r="2">
      <c r="F2" s="386" t="inlineStr">
        <is>
          <t>Descuento</t>
        </is>
      </c>
    </row>
    <row r="3">
      <c r="A3" s="182" t="inlineStr">
        <is>
          <t>CÓDIGO</t>
        </is>
      </c>
      <c r="B3" s="182" t="inlineStr">
        <is>
          <t>PRODUCTO</t>
        </is>
      </c>
      <c r="C3" s="182" t="inlineStr">
        <is>
          <t>TÍTULO PUBLICACIÓN</t>
        </is>
      </c>
      <c r="D3" s="183" t="inlineStr">
        <is>
          <t>Precio de venta normal</t>
        </is>
      </c>
      <c r="E3" s="183" t="inlineStr">
        <is>
          <t>Precio de facturación</t>
        </is>
      </c>
      <c r="F3" s="183" t="inlineStr">
        <is>
          <t>Precio de venta</t>
        </is>
      </c>
      <c r="G3" s="183" t="inlineStr">
        <is>
          <t>Precio de facturación2</t>
        </is>
      </c>
      <c r="H3" s="167" t="inlineStr">
        <is>
          <t>Precio de facturación3</t>
        </is>
      </c>
    </row>
    <row r="4">
      <c r="A4" s="167" t="inlineStr">
        <is>
          <t>503635004600</t>
        </is>
      </c>
      <c r="B4" s="223" t="inlineStr">
        <is>
          <t>BIOTINA 120 GOMAS</t>
        </is>
      </c>
      <c r="C4" s="223" t="inlineStr">
        <is>
          <t>Biotina + Arándano Olnatura Just 120 Gomitas Frambuesa</t>
        </is>
      </c>
      <c r="D4" s="493" t="n">
        <v>262.93</v>
      </c>
      <c r="E4" s="493" t="n">
        <v>262.93</v>
      </c>
      <c r="F4" s="493">
        <f>D4*0.95</f>
        <v/>
      </c>
      <c r="G4" s="494">
        <f>F4/1.16</f>
        <v/>
      </c>
      <c r="H4" s="493" t="n"/>
    </row>
    <row r="5">
      <c r="A5" s="167" t="inlineStr">
        <is>
          <t>503635004600</t>
        </is>
      </c>
      <c r="B5" s="223" t="inlineStr">
        <is>
          <t>BIOTINA 120 GOMAS</t>
        </is>
      </c>
      <c r="C5" s="223" t="inlineStr">
        <is>
          <t>Olnatura Just Gomitas Biotina Arándano Sabor Frambuesa Vegano Sin Gluten 120 Uds</t>
        </is>
      </c>
      <c r="D5" s="493" t="n">
        <v>262.93</v>
      </c>
      <c r="E5" s="493" t="n">
        <v>262.93</v>
      </c>
      <c r="F5" s="493">
        <f>D5*0.95</f>
        <v/>
      </c>
      <c r="G5" s="494">
        <f>F5/1.16</f>
        <v/>
      </c>
      <c r="H5" s="493" t="n"/>
    </row>
    <row r="6">
      <c r="A6" s="167" t="inlineStr">
        <is>
          <t>503635004600</t>
        </is>
      </c>
      <c r="B6" s="223" t="inlineStr">
        <is>
          <t>BIOTINA 120 GOMAS</t>
        </is>
      </c>
      <c r="C6" s="223" t="inlineStr">
        <is>
          <t>Biotina + Arándano Olnatura Just 120 Gomitas Sabor Frambuesa</t>
        </is>
      </c>
      <c r="D6" s="493" t="n">
        <v>262.93</v>
      </c>
      <c r="E6" s="493" t="n">
        <v>262.93</v>
      </c>
      <c r="F6" s="493">
        <f>D6*0.95</f>
        <v/>
      </c>
      <c r="G6" s="494">
        <f>F6/1.16</f>
        <v/>
      </c>
      <c r="H6" s="493" t="n"/>
    </row>
    <row r="7">
      <c r="A7" s="167" t="inlineStr">
        <is>
          <t>503635000200</t>
        </is>
      </c>
      <c r="B7" s="223" t="inlineStr">
        <is>
          <t>COLAGENO EN POLVO 210 GR</t>
        </is>
      </c>
      <c r="C7" s="223" t="inlineStr">
        <is>
          <t>Colágeno Hidrolizado Premium Justcollagen Polvo</t>
        </is>
      </c>
      <c r="D7" s="493" t="n">
        <v>379</v>
      </c>
      <c r="E7" s="493" t="n">
        <v>344.83</v>
      </c>
      <c r="F7" s="493">
        <f>D7*0.95</f>
        <v/>
      </c>
      <c r="G7" s="494">
        <f>F7/1.16</f>
        <v/>
      </c>
      <c r="H7" s="493" t="n"/>
    </row>
    <row r="8">
      <c r="A8" s="167" t="inlineStr">
        <is>
          <t>503635000200</t>
        </is>
      </c>
      <c r="B8" s="223" t="inlineStr">
        <is>
          <t>COLAGENO EN POLVO 210 GR</t>
        </is>
      </c>
      <c r="C8" s="223" t="inlineStr">
        <is>
          <t>Just Colágeno Hidrolizado Collagen 6000 En Polvo Sabor Fresa</t>
        </is>
      </c>
      <c r="D8" s="493" t="n">
        <v>379</v>
      </c>
      <c r="E8" s="493" t="n">
        <v>344.83</v>
      </c>
      <c r="F8" s="493">
        <f>D8*0.95</f>
        <v/>
      </c>
      <c r="G8" s="494">
        <f>F8/1.16</f>
        <v/>
      </c>
      <c r="H8" s="493" t="n"/>
    </row>
    <row r="9">
      <c r="A9" s="167" t="inlineStr">
        <is>
          <t>503635000200</t>
        </is>
      </c>
      <c r="B9" s="223" t="inlineStr">
        <is>
          <t>COLAGENO EN POLVO 210 GR</t>
        </is>
      </c>
      <c r="C9" s="223" t="inlineStr">
        <is>
          <t>Colágeno Hidrolizado Premium Justcollagen Polvo Frutilla</t>
        </is>
      </c>
      <c r="D9" s="493" t="n">
        <v>379</v>
      </c>
      <c r="E9" s="493" t="n">
        <v>344.83</v>
      </c>
      <c r="F9" s="493">
        <f>D9*0.95</f>
        <v/>
      </c>
      <c r="G9" s="494">
        <f>F9/1.16</f>
        <v/>
      </c>
      <c r="H9" s="493" t="n"/>
    </row>
    <row r="10">
      <c r="A10" s="167" t="inlineStr">
        <is>
          <t>503635000200</t>
        </is>
      </c>
      <c r="B10" s="223" t="inlineStr">
        <is>
          <t>COLAGENO EN POLVO 210 GR</t>
        </is>
      </c>
      <c r="C10" s="223" t="inlineStr">
        <is>
          <t>Just Colágeno Hidrolizado Collagen 6000 En Polvo Sabor Fresa Frutilla</t>
        </is>
      </c>
      <c r="D10" s="493" t="n">
        <v>379</v>
      </c>
      <c r="E10" s="493" t="n">
        <v>344.83</v>
      </c>
      <c r="F10" s="493">
        <f>D10*0.95</f>
        <v/>
      </c>
      <c r="G10" s="494">
        <f>F10/1.16</f>
        <v/>
      </c>
      <c r="H10" s="493" t="n"/>
    </row>
    <row r="11">
      <c r="A11" s="167" t="inlineStr">
        <is>
          <t>503635000200</t>
        </is>
      </c>
      <c r="B11" s="223" t="inlineStr">
        <is>
          <t>COLAGENO EN POLVO 210 GR</t>
        </is>
      </c>
      <c r="C11" s="223" t="inlineStr">
        <is>
          <t>Just Collagen Polvo 210 Gramos Fresa</t>
        </is>
      </c>
      <c r="D11" s="493" t="n">
        <v>379</v>
      </c>
      <c r="E11" s="493" t="n">
        <v>344.83</v>
      </c>
      <c r="F11" s="493">
        <f>D11*0.95</f>
        <v/>
      </c>
      <c r="G11" s="494">
        <f>F11/1.16</f>
        <v/>
      </c>
      <c r="H11" s="493" t="n"/>
    </row>
    <row r="12">
      <c r="A12" s="167" t="inlineStr">
        <is>
          <t>503635000200</t>
        </is>
      </c>
      <c r="B12" s="223" t="inlineStr">
        <is>
          <t>COLAGENO EN POLVO 210 GR</t>
        </is>
      </c>
      <c r="C12" s="223" t="inlineStr">
        <is>
          <t>Just Collagen Polvo 210 Gramos Frutilla</t>
        </is>
      </c>
      <c r="D12" s="493" t="n">
        <v>379</v>
      </c>
      <c r="E12" s="493" t="n">
        <v>344.83</v>
      </c>
      <c r="F12" s="493">
        <f>D12*0.95</f>
        <v/>
      </c>
      <c r="G12" s="494">
        <f>F12/1.16</f>
        <v/>
      </c>
      <c r="H12" s="493" t="n"/>
    </row>
    <row r="13">
      <c r="A13" s="333" t="n">
        <v>503635009800</v>
      </c>
      <c r="B13" s="223" t="inlineStr">
        <is>
          <t>COLAGENO TIPO II 30 CAPS</t>
        </is>
      </c>
      <c r="C13" s="223" t="inlineStr">
        <is>
          <t>Colágeno Tipo 2 Premium. Sin Desnaturalizar 30 Cápsulas Olnatura Just Natural</t>
        </is>
      </c>
      <c r="D13" s="493" t="n"/>
      <c r="E13" s="493" t="n">
        <v>405.17</v>
      </c>
      <c r="F13" s="493" t="n"/>
      <c r="G13" s="494" t="n"/>
      <c r="H13" s="493" t="n"/>
    </row>
    <row r="14">
      <c r="A14" s="333" t="n">
        <v>503635009800</v>
      </c>
      <c r="B14" s="223" t="inlineStr">
        <is>
          <t>COLAGENO TIPO II 30 CAPS</t>
        </is>
      </c>
      <c r="C14" s="223" t="inlineStr">
        <is>
          <t>Colágeno Tipo 2 Premium. Sin Desnaturalizar 30 Cápsulas Olnatura Just</t>
        </is>
      </c>
      <c r="D14" s="493" t="n"/>
      <c r="E14" s="493" t="n">
        <v>405.17</v>
      </c>
      <c r="F14" s="493" t="n"/>
      <c r="G14" s="494" t="n"/>
      <c r="H14" s="493" t="n"/>
    </row>
    <row r="15">
      <c r="A15" s="333" t="n">
        <v>503635009800</v>
      </c>
      <c r="B15" s="223" t="inlineStr">
        <is>
          <t>COLAGENO TIPO II 30 CAPS</t>
        </is>
      </c>
      <c r="C15" s="223" t="inlineStr">
        <is>
          <t>Olnatura Just Colágeno Tipo Ii 30 Cápsulas Natural</t>
        </is>
      </c>
      <c r="D15" s="493" t="n"/>
      <c r="E15" s="493" t="n">
        <v>405.17</v>
      </c>
      <c r="F15" s="493" t="n"/>
      <c r="G15" s="494" t="n"/>
      <c r="H15" s="493" t="n"/>
    </row>
    <row r="16">
      <c r="A16" s="333" t="n">
        <v>503635009800</v>
      </c>
      <c r="B16" s="223" t="inlineStr">
        <is>
          <t>COLAGENO TIPO II 30 CAPS</t>
        </is>
      </c>
      <c r="C16" s="223" t="inlineStr">
        <is>
          <t>Olnatura Just Colágeno Tipo Ii 30 Cápsulas 13g Natural</t>
        </is>
      </c>
      <c r="D16" s="493" t="n"/>
      <c r="E16" s="493" t="n">
        <v>405.17</v>
      </c>
      <c r="F16" s="493" t="n"/>
      <c r="G16" s="494" t="n"/>
      <c r="H16" s="493" t="n"/>
    </row>
    <row r="17">
      <c r="A17" s="333" t="n">
        <v>503635009800</v>
      </c>
      <c r="B17" s="223" t="inlineStr">
        <is>
          <t>COLAGENO TIPO II 30 CAPS</t>
        </is>
      </c>
      <c r="C17" s="223" t="inlineStr">
        <is>
          <t>Colágeno Tipo 2 Sin Desnaturalizar + Vitamina E Y Manganeso Sabor Natural</t>
        </is>
      </c>
      <c r="D17" s="493" t="n">
        <v>547</v>
      </c>
      <c r="E17" s="493" t="n">
        <v>405.17</v>
      </c>
      <c r="F17" s="493" t="n">
        <v>0</v>
      </c>
      <c r="G17" s="494" t="n">
        <v>0</v>
      </c>
      <c r="H17" s="493" t="n"/>
    </row>
    <row r="18">
      <c r="A18" s="335" t="n">
        <v>503635001010</v>
      </c>
      <c r="B18" s="270" t="inlineStr">
        <is>
          <t>COLAGENO TIPO II 90 CAPS</t>
        </is>
      </c>
      <c r="C18" s="270" t="inlineStr">
        <is>
          <t>Colágeno Tipo 2 Premium. Sin Desnaturalizar 90 Cápsulas</t>
        </is>
      </c>
      <c r="D18" s="495" t="n">
        <v>1063</v>
      </c>
      <c r="E18" s="495" t="n">
        <v>775.86</v>
      </c>
      <c r="F18" s="495" t="n">
        <v>0</v>
      </c>
      <c r="G18" s="496" t="n">
        <v>0</v>
      </c>
      <c r="H18" s="493" t="n"/>
      <c r="I18" s="269" t="n"/>
      <c r="J18" s="269" t="n"/>
      <c r="K18" s="269" t="n"/>
      <c r="L18" s="269" t="n"/>
    </row>
    <row r="19">
      <c r="A19" s="335" t="n">
        <v>503635001010</v>
      </c>
      <c r="B19" s="270" t="inlineStr">
        <is>
          <t>COLAGENO TIPO II 90 CAPS</t>
        </is>
      </c>
      <c r="C19" s="270" t="inlineStr">
        <is>
          <t>Colágeno Tipo 2 Premium. Sin Desnaturalizar 90 Cápsulas  Natural</t>
        </is>
      </c>
      <c r="D19" s="495" t="n">
        <v>1063</v>
      </c>
      <c r="E19" s="495" t="n">
        <v>775.86</v>
      </c>
      <c r="F19" s="495" t="n">
        <v>0</v>
      </c>
      <c r="G19" s="496" t="n">
        <v>0</v>
      </c>
      <c r="H19" s="493" t="n"/>
      <c r="I19" s="269" t="n"/>
      <c r="J19" s="269" t="n"/>
      <c r="K19" s="269" t="n"/>
      <c r="L19" s="269" t="n"/>
    </row>
    <row r="20">
      <c r="A20" s="335" t="n">
        <v>503635001010</v>
      </c>
      <c r="B20" s="270" t="inlineStr">
        <is>
          <t>COLAGENO TIPO II 90 CAPS</t>
        </is>
      </c>
      <c r="C20" s="270" t="inlineStr">
        <is>
          <t>Colágeno Tipo 2 Premium. Sin Desnaturalizar 90 Cápsulas Olnatura Just</t>
        </is>
      </c>
      <c r="D20" s="495" t="n">
        <v>1063</v>
      </c>
      <c r="E20" s="495" t="n">
        <v>775.86</v>
      </c>
      <c r="F20" s="495" t="n">
        <v>0</v>
      </c>
      <c r="G20" s="496" t="n">
        <v>0</v>
      </c>
      <c r="H20" s="493" t="n"/>
      <c r="I20" s="269" t="n"/>
      <c r="J20" s="269" t="n"/>
      <c r="K20" s="269" t="n"/>
      <c r="L20" s="269" t="n"/>
    </row>
    <row r="21">
      <c r="A21" s="335" t="n">
        <v>503635001010</v>
      </c>
      <c r="B21" s="270" t="inlineStr">
        <is>
          <t>COLAGENO TIPO II 90 CAPS</t>
        </is>
      </c>
      <c r="C21" s="270" t="inlineStr">
        <is>
          <t>Colágeno Tipo 2 Premium. Sin Desnaturalizar 90 Cápsulas Olnatura Just Natural</t>
        </is>
      </c>
      <c r="D21" s="495" t="n">
        <v>1063</v>
      </c>
      <c r="E21" s="495" t="n">
        <v>775.86</v>
      </c>
      <c r="F21" s="495">
        <f>D21*0.91</f>
        <v/>
      </c>
      <c r="G21" s="496">
        <f>F21/1.16</f>
        <v/>
      </c>
      <c r="H21" s="493" t="n"/>
      <c r="I21" s="269" t="n"/>
      <c r="J21" s="269" t="n"/>
      <c r="K21" s="269" t="n"/>
      <c r="L21" s="269" t="n"/>
    </row>
    <row r="22">
      <c r="A22" s="333" t="n">
        <v>503635001010</v>
      </c>
      <c r="B22" s="223" t="inlineStr">
        <is>
          <t>COLAGENO TIPO II 90 CAPS</t>
        </is>
      </c>
      <c r="C22" s="223" t="inlineStr">
        <is>
          <t>Suplemento En Cápsulas Olnatura® Just For You Colágeno Tipo Ii Sin Desnaturalizar Uc Uc-ii Sabor Natural 90 Un</t>
        </is>
      </c>
      <c r="D22" s="493" t="n">
        <v>1063</v>
      </c>
      <c r="E22" s="493" t="n">
        <v>939.651</v>
      </c>
      <c r="F22" s="493" t="n">
        <v>0</v>
      </c>
      <c r="G22" s="494" t="n">
        <v>0</v>
      </c>
      <c r="H22" s="493" t="n"/>
    </row>
    <row r="23">
      <c r="A23" s="226" t="inlineStr">
        <is>
          <t>503635004500</t>
        </is>
      </c>
      <c r="B23" s="223" t="inlineStr">
        <is>
          <t>COLÁGENO+BIOTINA 120 GOMAS</t>
        </is>
      </c>
      <c r="C23" s="223" t="inlineStr">
        <is>
          <t>Colágeno Hidrolizado + Biotina Olnatura Just 120 Gomas Frutos Rojos</t>
        </is>
      </c>
      <c r="D23" s="493" t="n">
        <v>288</v>
      </c>
      <c r="E23" s="493" t="n">
        <v>258.62</v>
      </c>
      <c r="F23" s="493">
        <f>D23*0.95</f>
        <v/>
      </c>
      <c r="G23" s="494">
        <f>F23/1.16</f>
        <v/>
      </c>
      <c r="H23" s="493" t="n"/>
    </row>
    <row r="24">
      <c r="A24" s="226" t="inlineStr">
        <is>
          <t>503635004500</t>
        </is>
      </c>
      <c r="B24" s="223" t="inlineStr">
        <is>
          <t>COLÁGENO+BIOTINA 120 GOMAS</t>
        </is>
      </c>
      <c r="C24" s="223" t="inlineStr">
        <is>
          <t>Olnatura Just Colágeno Hidrolizado + Biotina 120 Gomitas Frutos Rojos</t>
        </is>
      </c>
      <c r="D24" s="493" t="n">
        <v>288</v>
      </c>
      <c r="E24" s="493" t="n">
        <v>258.62</v>
      </c>
      <c r="F24" s="493">
        <f>D24*0.95</f>
        <v/>
      </c>
      <c r="G24" s="494">
        <f>F24/1.16</f>
        <v/>
      </c>
      <c r="H24" s="493" t="n"/>
    </row>
    <row r="25">
      <c r="A25" s="226" t="inlineStr">
        <is>
          <t>503635004500</t>
        </is>
      </c>
      <c r="B25" s="223" t="inlineStr">
        <is>
          <t>COLÁGENO+BIOTINA 120 GOMAS</t>
        </is>
      </c>
      <c r="C25" s="223" t="inlineStr">
        <is>
          <t>Colágeno Hidrolizado + Biotina Olnatura Just 120 Gomas</t>
        </is>
      </c>
      <c r="D25" s="493" t="n">
        <v>288</v>
      </c>
      <c r="E25" s="493" t="n">
        <v>258.62</v>
      </c>
      <c r="F25" s="493">
        <f>D25*0.95</f>
        <v/>
      </c>
      <c r="G25" s="494">
        <f>F25/1.16</f>
        <v/>
      </c>
      <c r="H25" s="493" t="n"/>
    </row>
    <row r="26">
      <c r="A26" s="226" t="inlineStr">
        <is>
          <t>503635004500</t>
        </is>
      </c>
      <c r="B26" s="223" t="inlineStr">
        <is>
          <t>COLÁGENO+BIOTINA 120 GOMAS</t>
        </is>
      </c>
      <c r="C26" s="223" t="inlineStr">
        <is>
          <t>Colágeno Hidrolizado + Biotina Olnatura Just 120 Gomitas Sabor Frutos Rojos</t>
        </is>
      </c>
      <c r="D26" s="493" t="n">
        <v>288</v>
      </c>
      <c r="E26" s="493" t="n">
        <v>258.62</v>
      </c>
      <c r="F26" s="493">
        <f>D26*0.95</f>
        <v/>
      </c>
      <c r="G26" s="494">
        <f>F26/1.16</f>
        <v/>
      </c>
      <c r="H26" s="493" t="n"/>
    </row>
    <row r="27">
      <c r="A27" s="167" t="n">
        <v>10</v>
      </c>
      <c r="B27" s="223" t="inlineStr">
        <is>
          <t>Dúo Pack Biotina 110</t>
        </is>
      </c>
      <c r="C27" s="223" t="inlineStr">
        <is>
          <t>Biotina + Arándano Just Bio H 110 Gomitas 2 Piezas</t>
        </is>
      </c>
      <c r="D27" s="493" t="n">
        <v>841.71</v>
      </c>
      <c r="E27" s="493" t="inlineStr">
        <is>
          <t>KIT</t>
        </is>
      </c>
      <c r="F27" s="493" t="n">
        <v>0</v>
      </c>
      <c r="G27" s="494" t="n">
        <v>0</v>
      </c>
      <c r="H27" s="493" t="n"/>
    </row>
    <row r="28">
      <c r="A28" s="167" t="n">
        <v>9</v>
      </c>
      <c r="B28" s="223" t="inlineStr">
        <is>
          <t>Dúo Pack Collagen 111</t>
        </is>
      </c>
      <c r="C28" s="223" t="inlineStr">
        <is>
          <t>Colágeno Hidrolizado Just Collagen 111 Gomitas 2 Piezas</t>
        </is>
      </c>
      <c r="D28" s="493" t="n">
        <v>741.01</v>
      </c>
      <c r="E28" s="493" t="inlineStr">
        <is>
          <t>KIT</t>
        </is>
      </c>
      <c r="F28" s="493" t="n">
        <v>0</v>
      </c>
      <c r="G28" s="494" t="n">
        <v>0</v>
      </c>
      <c r="H28" s="493" t="n"/>
    </row>
    <row r="29">
      <c r="A29" s="167" t="n">
        <v>8</v>
      </c>
      <c r="B29" s="223" t="inlineStr">
        <is>
          <t>Dúo Pack Glucosamina 240</t>
        </is>
      </c>
      <c r="C29" s="223" t="inlineStr">
        <is>
          <t>Glucosamina Condroitina + Boro Y Manganeso 240 Tabletas 2 Pz</t>
        </is>
      </c>
      <c r="D29" s="493" t="n">
        <v>1134.31</v>
      </c>
      <c r="E29" s="493" t="inlineStr">
        <is>
          <t>KIT</t>
        </is>
      </c>
      <c r="F29" s="493" t="n">
        <v>0</v>
      </c>
      <c r="G29" s="494" t="n">
        <v>0</v>
      </c>
      <c r="H29" s="493" t="n"/>
    </row>
    <row r="30">
      <c r="A30" s="167" t="n">
        <v>11</v>
      </c>
      <c r="B30" s="223" t="inlineStr">
        <is>
          <t>Dúo Pack Omega 3 110</t>
        </is>
      </c>
      <c r="C30" s="223" t="inlineStr">
        <is>
          <t>Just Omega 3 110 Gomitas 2 Piezas</t>
        </is>
      </c>
      <c r="D30" s="493" t="n">
        <v>741.01</v>
      </c>
      <c r="E30" s="493" t="inlineStr">
        <is>
          <t>KIT</t>
        </is>
      </c>
      <c r="F30" s="493" t="n">
        <v>0</v>
      </c>
      <c r="G30" s="494" t="n">
        <v>0</v>
      </c>
      <c r="H30" s="493" t="n"/>
    </row>
    <row r="31">
      <c r="A31" s="167" t="inlineStr">
        <is>
          <t>503635000300</t>
        </is>
      </c>
      <c r="B31" s="223" t="inlineStr">
        <is>
          <t>GLUCOSAMINA / CONDROITINA BOVINO 410 TAB</t>
        </is>
      </c>
      <c r="C31" s="223" t="inlineStr">
        <is>
          <t>Olnatura Just Glucosamina Condroitina 410 Cápsulas N/a</t>
        </is>
      </c>
      <c r="D31" s="493" t="n">
        <v>943</v>
      </c>
      <c r="E31" s="493" t="n">
        <v>758.62</v>
      </c>
      <c r="F31" s="493" t="n">
        <v>0</v>
      </c>
      <c r="G31" s="494" t="n">
        <v>0</v>
      </c>
      <c r="H31" s="493" t="n"/>
    </row>
    <row r="32">
      <c r="A32" s="167" t="inlineStr">
        <is>
          <t>503635000300</t>
        </is>
      </c>
      <c r="B32" s="223" t="inlineStr">
        <is>
          <t>GLUCOSAMINA / CONDROITINA BOVINO 410 TAB</t>
        </is>
      </c>
      <c r="C32" s="223" t="inlineStr">
        <is>
          <t>Glucosamina Condroitina Boro Magnesio 410 Pz Just For You Sabor Sin Sabor</t>
        </is>
      </c>
      <c r="D32" s="493" t="n">
        <v>943</v>
      </c>
      <c r="E32" s="493" t="n">
        <v>758.62</v>
      </c>
      <c r="F32" s="493" t="n">
        <v>0</v>
      </c>
      <c r="G32" s="494" t="n">
        <v>0</v>
      </c>
      <c r="H32" s="493" t="n"/>
    </row>
    <row r="33">
      <c r="A33" s="167" t="inlineStr">
        <is>
          <t>503635000300</t>
        </is>
      </c>
      <c r="B33" s="223" t="inlineStr">
        <is>
          <t>GLUCOSAMINA / CONDROITINA BOVINO 410 TAB</t>
        </is>
      </c>
      <c r="C33" s="223" t="inlineStr">
        <is>
          <t>Olnatura Just Glucosamina Condroitina 410 Cápsulas Sabor N/a</t>
        </is>
      </c>
      <c r="D33" s="493" t="n">
        <v>943</v>
      </c>
      <c r="E33" s="493" t="n">
        <v>758.62</v>
      </c>
      <c r="F33" s="493" t="n">
        <v>0</v>
      </c>
      <c r="G33" s="494" t="n">
        <v>0</v>
      </c>
      <c r="H33" s="493" t="n"/>
    </row>
    <row r="34">
      <c r="A34" s="167" t="inlineStr">
        <is>
          <t>503635000300</t>
        </is>
      </c>
      <c r="B34" s="223" t="inlineStr">
        <is>
          <t>GLUCOSAMINA / CONDROITINA BOVINO 410 TAB</t>
        </is>
      </c>
      <c r="C34" s="223" t="n"/>
      <c r="D34" s="493" t="n">
        <v>943</v>
      </c>
      <c r="E34" s="493" t="n">
        <v>758.62</v>
      </c>
      <c r="F34" s="493" t="n"/>
      <c r="G34" s="494" t="n"/>
      <c r="H34" s="493" t="n"/>
    </row>
    <row r="35">
      <c r="A35" s="167" t="inlineStr">
        <is>
          <t>503635000300</t>
        </is>
      </c>
      <c r="B35" s="223" t="inlineStr">
        <is>
          <t>GLUCOSAMINA / CONDROITINA BOVINO 410 TAB</t>
        </is>
      </c>
      <c r="C35" s="223" t="inlineStr">
        <is>
          <t>Olnatura Just For You Glucosamina Cápsulas 410 Unid. N/a</t>
        </is>
      </c>
      <c r="D35" s="493" t="n">
        <v>943</v>
      </c>
      <c r="E35" s="493" t="n">
        <v>758.62</v>
      </c>
      <c r="F35" s="493" t="n"/>
      <c r="G35" s="494" t="n"/>
      <c r="H35" s="493" t="n"/>
    </row>
    <row r="36">
      <c r="A36" s="167" t="inlineStr">
        <is>
          <t>503635000100</t>
        </is>
      </c>
      <c r="B36" s="223" t="inlineStr">
        <is>
          <t>GLUCOSAMINA / CONDROITINA TIBURON 240 TA</t>
        </is>
      </c>
      <c r="C36" s="223" t="inlineStr">
        <is>
          <t>Glucosamina 240 Tabletas Boro Y Manganeso Olnatura Just</t>
        </is>
      </c>
      <c r="D36" s="493" t="n">
        <v>597</v>
      </c>
      <c r="E36" s="493" t="n">
        <v>491.38</v>
      </c>
      <c r="F36" s="493" t="n">
        <v>0</v>
      </c>
      <c r="G36" s="494" t="n">
        <v>0</v>
      </c>
      <c r="H36" s="493" t="n"/>
    </row>
    <row r="37">
      <c r="A37" s="167" t="inlineStr">
        <is>
          <t>503635000100</t>
        </is>
      </c>
      <c r="B37" s="223" t="inlineStr">
        <is>
          <t>GLUCOSAMINA / CONDROITINA TIBURON 240 TA</t>
        </is>
      </c>
      <c r="C37" s="223" t="inlineStr">
        <is>
          <t>Glucosamina 240 Tabletas Boro Y Manganeso Olnatura Just Original</t>
        </is>
      </c>
      <c r="D37" s="493" t="n">
        <v>597</v>
      </c>
      <c r="E37" s="493" t="n">
        <v>491.38</v>
      </c>
      <c r="F37" s="493" t="n">
        <v>0</v>
      </c>
      <c r="G37" s="494" t="n">
        <v>0</v>
      </c>
      <c r="H37" s="493" t="n"/>
    </row>
    <row r="38">
      <c r="A38" s="167" t="inlineStr">
        <is>
          <t>503635000100</t>
        </is>
      </c>
      <c r="B38" s="223" t="inlineStr">
        <is>
          <t>GLUCOSAMINA / CONDROITINA TIBURON 240 TA</t>
        </is>
      </c>
      <c r="C38" s="223" t="inlineStr">
        <is>
          <t>Olnatura Glucosamina 240 Tabletas Boro Y Manganeso</t>
        </is>
      </c>
      <c r="D38" s="493" t="n">
        <v>597</v>
      </c>
      <c r="E38" s="493" t="n">
        <v>491.38</v>
      </c>
      <c r="F38" s="493" t="n"/>
      <c r="G38" s="494" t="n"/>
      <c r="H38" s="493" t="n"/>
    </row>
    <row r="39">
      <c r="A39" s="167" t="inlineStr">
        <is>
          <t>503635000100</t>
        </is>
      </c>
      <c r="B39" s="223" t="inlineStr">
        <is>
          <t>GLUCOSAMINA / CONDROITINA TIBURON 240 TA</t>
        </is>
      </c>
      <c r="C39" s="223" t="inlineStr">
        <is>
          <t>Just For You Glucosamina Condroitina 240 Tabletas Original</t>
        </is>
      </c>
      <c r="D39" s="493" t="n">
        <v>597</v>
      </c>
      <c r="E39" s="493" t="n">
        <v>491.38</v>
      </c>
      <c r="F39" s="493" t="n"/>
      <c r="G39" s="494" t="n"/>
      <c r="H39" s="493" t="n"/>
    </row>
    <row r="40">
      <c r="A40" s="167" t="inlineStr">
        <is>
          <t>503635000100</t>
        </is>
      </c>
      <c r="B40" s="223" t="inlineStr">
        <is>
          <t>GLUCOSAMINA / CONDROITINA TIBURON 240 TA</t>
        </is>
      </c>
      <c r="C40" s="223" t="inlineStr">
        <is>
          <t>Glucosamina Condroitina Just For You De Tiburón 240 Tabletas</t>
        </is>
      </c>
      <c r="D40" s="493" t="n">
        <v>597</v>
      </c>
      <c r="E40" s="493" t="n">
        <v>491.38</v>
      </c>
      <c r="F40" s="493" t="n">
        <v>0</v>
      </c>
      <c r="G40" s="494" t="n">
        <v>0</v>
      </c>
      <c r="H40" s="493" t="n"/>
    </row>
    <row r="41">
      <c r="A41" s="333" t="n">
        <v>503635007000</v>
      </c>
      <c r="B41" s="223" t="inlineStr">
        <is>
          <t>JUSTBIOH 110 GOMAS BAJAS EN AZUCAR</t>
        </is>
      </c>
      <c r="C41" s="223" t="inlineStr">
        <is>
          <t>Olnatura Biotina Y Arándano 110 Gomas Reducidas En Azúcar Frutos Rojos</t>
        </is>
      </c>
      <c r="D41" s="493" t="n"/>
      <c r="E41" s="493" t="n">
        <v>334.48</v>
      </c>
      <c r="F41" s="493" t="n"/>
      <c r="G41" s="494" t="n"/>
      <c r="H41" s="493" t="n"/>
    </row>
    <row r="42">
      <c r="A42" s="333" t="n">
        <v>503635007000</v>
      </c>
      <c r="B42" s="223" t="inlineStr">
        <is>
          <t>JUSTBIOH 110 GOMAS BAJAS EN AZUCAR</t>
        </is>
      </c>
      <c r="C42" s="223" t="inlineStr">
        <is>
          <t>Biotina Gomas Olnatura Arándano Frutos Rojos 110 Pzas Salud Cabello</t>
        </is>
      </c>
      <c r="D42" s="493" t="n"/>
      <c r="E42" s="493" t="n">
        <v>334.48</v>
      </c>
      <c r="F42" s="493" t="n"/>
      <c r="G42" s="494" t="n"/>
      <c r="H42" s="493" t="n"/>
    </row>
    <row r="43">
      <c r="A43" s="333" t="n">
        <v>503635007000</v>
      </c>
      <c r="B43" s="223" t="inlineStr">
        <is>
          <t>JUSTBIOH 110 GOMAS BAJAS EN AZUCAR</t>
        </is>
      </c>
      <c r="C43" s="223" t="inlineStr">
        <is>
          <t>JUST BIOTINA + ARÁNDANO 110 GOMITAS (BAJAS EN AZÚCAR)</t>
        </is>
      </c>
      <c r="D43" s="493" t="n"/>
      <c r="E43" s="493" t="n">
        <v>334.48</v>
      </c>
      <c r="F43" s="493" t="n"/>
      <c r="G43" s="494" t="n"/>
      <c r="H43" s="493" t="n"/>
    </row>
    <row r="44">
      <c r="A44" s="167" t="inlineStr">
        <is>
          <t>503635001600</t>
        </is>
      </c>
      <c r="B44" s="223" t="inlineStr">
        <is>
          <t>JUSTBIOH 110 GOMAS</t>
        </is>
      </c>
      <c r="C44" s="223" t="inlineStr">
        <is>
          <t>Biotina Premium + Arándano Justbio H 110 Gomitas</t>
        </is>
      </c>
      <c r="D44" s="493" t="n">
        <v>443</v>
      </c>
      <c r="E44" s="493" t="n">
        <v>357.76</v>
      </c>
      <c r="F44" s="493" t="n">
        <v>0</v>
      </c>
      <c r="G44" s="494" t="n">
        <v>0</v>
      </c>
      <c r="H44" s="493" t="n"/>
    </row>
    <row r="45">
      <c r="A45" s="167" t="inlineStr">
        <is>
          <t>503635001600</t>
        </is>
      </c>
      <c r="B45" s="223" t="inlineStr">
        <is>
          <t>JUSTBIOH 110 GOMAS</t>
        </is>
      </c>
      <c r="C45" s="223" t="inlineStr">
        <is>
          <t>Just Bio H Gomitas 110 Gomitas</t>
        </is>
      </c>
      <c r="D45" s="493" t="n">
        <v>443</v>
      </c>
      <c r="E45" s="493" t="n">
        <v>357.76</v>
      </c>
      <c r="F45" s="493" t="n">
        <v>0</v>
      </c>
      <c r="G45" s="494" t="n">
        <v>0</v>
      </c>
      <c r="H45" s="493" t="n"/>
    </row>
    <row r="46">
      <c r="A46" s="167" t="inlineStr">
        <is>
          <t>503635001600</t>
        </is>
      </c>
      <c r="B46" s="223" t="inlineStr">
        <is>
          <t>JUSTBIOH 110 GOMAS</t>
        </is>
      </c>
      <c r="C46" s="223" t="inlineStr">
        <is>
          <t>Justbio H 110 Gomitas Biotina Más Arándano Olnatura</t>
        </is>
      </c>
      <c r="D46" s="493" t="n">
        <v>443</v>
      </c>
      <c r="E46" s="493" t="n">
        <v>357.76</v>
      </c>
      <c r="F46" s="493" t="n">
        <v>0</v>
      </c>
      <c r="G46" s="494" t="n">
        <v>0</v>
      </c>
      <c r="H46" s="493" t="n"/>
    </row>
    <row r="47">
      <c r="A47" s="167" t="inlineStr">
        <is>
          <t>503635001600</t>
        </is>
      </c>
      <c r="B47" s="223" t="inlineStr">
        <is>
          <t>JUSTBIOH 110 GOMAS</t>
        </is>
      </c>
      <c r="C47" s="223" t="inlineStr">
        <is>
          <t>Olnatura Justbio H Gomitas 110 Unid Biotina 726g</t>
        </is>
      </c>
      <c r="D47" s="493" t="n">
        <v>443</v>
      </c>
      <c r="E47" s="493" t="n">
        <v>357.76</v>
      </c>
      <c r="F47" s="493" t="n">
        <v>0</v>
      </c>
      <c r="G47" s="494" t="n">
        <v>0</v>
      </c>
      <c r="H47" s="493" t="n"/>
    </row>
    <row r="48">
      <c r="A48" s="167" t="inlineStr">
        <is>
          <t>503635001600</t>
        </is>
      </c>
      <c r="B48" s="223" t="inlineStr">
        <is>
          <t>JUSTBIOH 110 GOMAS</t>
        </is>
      </c>
      <c r="C48" s="223" t="inlineStr">
        <is>
          <t>Justbio H 110 Gomitas Biotina Más Arándano Olnatura Sabor Frambuesa</t>
        </is>
      </c>
      <c r="D48" s="493" t="n">
        <v>443</v>
      </c>
      <c r="E48" s="493" t="n">
        <v>357.76</v>
      </c>
      <c r="F48" s="493" t="n"/>
      <c r="G48" s="494" t="n"/>
      <c r="H48" s="493" t="n"/>
    </row>
    <row r="49">
      <c r="A49" s="167" t="inlineStr">
        <is>
          <t>503635002000</t>
        </is>
      </c>
      <c r="B49" s="223" t="inlineStr">
        <is>
          <t>JUSTBIOTICS 110 GOMAS</t>
        </is>
      </c>
      <c r="C49" s="223" t="inlineStr">
        <is>
          <t>Probioticos Lactobacilos Arandano 110 Gomitas Olnatura Just</t>
        </is>
      </c>
      <c r="D49" s="493" t="n">
        <v>409</v>
      </c>
      <c r="E49" s="493" t="n">
        <v>357.76</v>
      </c>
      <c r="F49" s="493">
        <f>D49*0.95</f>
        <v/>
      </c>
      <c r="G49" s="494">
        <f>F49/1.16</f>
        <v/>
      </c>
      <c r="H49" s="493" t="n"/>
    </row>
    <row r="50">
      <c r="A50" s="167" t="inlineStr">
        <is>
          <t>503635002000</t>
        </is>
      </c>
      <c r="B50" s="223" t="inlineStr">
        <is>
          <t>JUSTBIOTICS 110 GOMAS</t>
        </is>
      </c>
      <c r="C50" s="223" t="inlineStr">
        <is>
          <t>Just Gomitas Probioticos Lactobacilos 726 Ml 110 Unid.</t>
        </is>
      </c>
      <c r="D50" s="493" t="n">
        <v>409</v>
      </c>
      <c r="E50" s="493" t="n">
        <v>357.76</v>
      </c>
      <c r="F50" s="493">
        <f>D50*0.95</f>
        <v/>
      </c>
      <c r="G50" s="494">
        <f>F50/1.16</f>
        <v/>
      </c>
      <c r="H50" s="493" t="n"/>
    </row>
    <row r="51">
      <c r="A51" s="167" t="inlineStr">
        <is>
          <t>503635002000</t>
        </is>
      </c>
      <c r="B51" s="223" t="inlineStr">
        <is>
          <t>JUSTBIOTICS 110 GOMAS</t>
        </is>
      </c>
      <c r="C51" s="223" t="inlineStr">
        <is>
          <t>Just Probioticos Lactobacilos Arandano 110 Gomitas</t>
        </is>
      </c>
      <c r="D51" s="493" t="n">
        <v>409</v>
      </c>
      <c r="E51" s="493" t="n">
        <v>357.76</v>
      </c>
      <c r="F51" s="493">
        <f>D51*0.95</f>
        <v/>
      </c>
      <c r="G51" s="494">
        <f>F51/1.16</f>
        <v/>
      </c>
      <c r="H51" s="493" t="n"/>
    </row>
    <row r="52">
      <c r="A52" s="167" t="inlineStr">
        <is>
          <t>503635002000</t>
        </is>
      </c>
      <c r="B52" s="223" t="inlineStr">
        <is>
          <t>JUSTBIOTICS 110 GOMAS</t>
        </is>
      </c>
      <c r="C52" s="223" t="inlineStr">
        <is>
          <t>Probióticos Premium Justbiotics 110 Gomitas</t>
        </is>
      </c>
      <c r="D52" s="493" t="n">
        <v>409</v>
      </c>
      <c r="E52" s="493" t="n">
        <v>357.76</v>
      </c>
      <c r="F52" s="493">
        <f>D52*0.95</f>
        <v/>
      </c>
      <c r="G52" s="494">
        <f>F52/1.16</f>
        <v/>
      </c>
      <c r="H52" s="493" t="n"/>
    </row>
    <row r="53">
      <c r="A53" s="333" t="n">
        <v>503635007200</v>
      </c>
      <c r="B53" s="223" t="inlineStr">
        <is>
          <t>JUST PROBIOTICOS 110 BAJAS EN AZUCAR</t>
        </is>
      </c>
      <c r="C53" s="223" t="inlineStr">
        <is>
          <t>JUST PROBIÓTICOS + FIBRA 110 GOMITAS (BAJAS EN AZÚCAR)</t>
        </is>
      </c>
      <c r="D53" s="493" t="n"/>
      <c r="E53" s="493" t="n">
        <v>334.48</v>
      </c>
      <c r="F53" s="493" t="n"/>
      <c r="G53" s="494" t="n"/>
      <c r="H53" s="493" t="n"/>
    </row>
    <row r="54">
      <c r="A54" s="333" t="n">
        <v>503635007200</v>
      </c>
      <c r="B54" s="223" t="inlineStr">
        <is>
          <t>JUST PROBIOTICOS 110 BAJAS EN AZUCAR</t>
        </is>
      </c>
      <c r="C54" s="223" t="inlineStr">
        <is>
          <t>Probióticos + Fibra Soluble, 110 Gomas Reducidas En Azúcar Frutos Rojos</t>
        </is>
      </c>
      <c r="D54" s="493" t="n"/>
      <c r="E54" s="493" t="n">
        <v>334.48</v>
      </c>
      <c r="F54" s="493" t="n"/>
      <c r="G54" s="494" t="n"/>
      <c r="H54" s="493" t="n"/>
    </row>
    <row r="55">
      <c r="A55" s="167" t="inlineStr">
        <is>
          <t>503635004200</t>
        </is>
      </c>
      <c r="B55" s="223" t="inlineStr">
        <is>
          <t>JUSTCALOSTRO 30 CAPS</t>
        </is>
      </c>
      <c r="C55" s="223" t="inlineStr">
        <is>
          <t>Calostro Bovino + Zinc Justcalostro 30 Cápsulas</t>
        </is>
      </c>
      <c r="D55" s="493" t="n"/>
      <c r="E55" s="493" t="n">
        <v>0</v>
      </c>
      <c r="F55" s="493" t="n"/>
      <c r="G55" s="494" t="n"/>
      <c r="H55" s="493" t="n"/>
    </row>
    <row r="56">
      <c r="A56" s="167" t="inlineStr">
        <is>
          <t>503635004200</t>
        </is>
      </c>
      <c r="B56" s="223" t="inlineStr">
        <is>
          <t>JUSTCALOSTRO 30 CAPS</t>
        </is>
      </c>
      <c r="C56" s="223" t="inlineStr">
        <is>
          <t xml:space="preserve">Calostro Bovino + Zinc Justcalostro 30 Cápsulas </t>
        </is>
      </c>
      <c r="D56" s="493" t="n">
        <v>189</v>
      </c>
      <c r="E56" s="493" t="n">
        <v>0</v>
      </c>
      <c r="F56" s="493" t="n">
        <v>0</v>
      </c>
      <c r="G56" s="494" t="n">
        <v>0</v>
      </c>
      <c r="H56" s="493" t="n"/>
    </row>
    <row r="57">
      <c r="A57" s="167" t="inlineStr">
        <is>
          <t>503635004200</t>
        </is>
      </c>
      <c r="B57" s="223" t="inlineStr">
        <is>
          <t>JUSTCALOSTRO 30 CAPS</t>
        </is>
      </c>
      <c r="C57" s="223" t="inlineStr">
        <is>
          <t>Calostro Bovino + Zinc Justcalostro 30 Cápsulas Sabor Sin Sabor</t>
        </is>
      </c>
      <c r="D57" s="493" t="n">
        <v>189</v>
      </c>
      <c r="E57" s="493" t="n">
        <v>0</v>
      </c>
      <c r="F57" s="493" t="n"/>
      <c r="G57" s="494" t="n"/>
      <c r="H57" s="493" t="n"/>
    </row>
    <row r="58">
      <c r="A58" s="336" t="n"/>
      <c r="B58" s="223" t="inlineStr">
        <is>
          <t>JUSTCETRUX 180</t>
        </is>
      </c>
      <c r="C58" s="223" t="inlineStr">
        <is>
          <t>Just Cetrux Vitamina C 180 Tabletas 1450mg C/u Olnatura</t>
        </is>
      </c>
      <c r="D58" s="493" t="n">
        <v>199</v>
      </c>
      <c r="E58" s="493" t="n">
        <v>168.1</v>
      </c>
      <c r="F58" s="493">
        <f>D58*0.95</f>
        <v/>
      </c>
      <c r="G58" s="494">
        <f>F58/1.16</f>
        <v/>
      </c>
      <c r="H58" s="493" t="n"/>
    </row>
    <row r="59">
      <c r="A59" s="336" t="n"/>
      <c r="B59" s="223" t="inlineStr">
        <is>
          <t>JUSTCETRUX 180</t>
        </is>
      </c>
      <c r="C59" s="223" t="inlineStr">
        <is>
          <t>Vitamina C + Zinc Justcetrux 180 Tabletas</t>
        </is>
      </c>
      <c r="D59" s="493" t="n">
        <v>199</v>
      </c>
      <c r="E59" s="493" t="n">
        <v>168.1</v>
      </c>
      <c r="F59" s="493">
        <f>D59*0.95</f>
        <v/>
      </c>
      <c r="G59" s="494">
        <f>F59/1.16</f>
        <v/>
      </c>
      <c r="H59" s="493" t="n"/>
    </row>
    <row r="60">
      <c r="A60" s="167" t="inlineStr">
        <is>
          <t>503635003700</t>
        </is>
      </c>
      <c r="B60" s="223" t="inlineStr">
        <is>
          <t>JUSTCETRUX 60</t>
        </is>
      </c>
      <c r="C60" s="223" t="inlineStr">
        <is>
          <t>Vitamina C + Zinc + Probioticos Fos Justcetrux 60 Tabletas</t>
        </is>
      </c>
      <c r="D60" s="493" t="n">
        <v>97</v>
      </c>
      <c r="E60" s="493" t="n">
        <v>109.05</v>
      </c>
      <c r="F60" s="493" t="n">
        <v>0</v>
      </c>
      <c r="G60" s="494" t="n">
        <v>0</v>
      </c>
      <c r="H60" s="493" t="n"/>
    </row>
    <row r="61">
      <c r="A61" s="167" t="inlineStr">
        <is>
          <t>503635003700</t>
        </is>
      </c>
      <c r="B61" s="223" t="inlineStr">
        <is>
          <t>JUSTCETRUX 60</t>
        </is>
      </c>
      <c r="C61" s="223" t="inlineStr">
        <is>
          <t>Vitamina C + Zinc + Probioticos Fos Justcetrux 60 Tabletas Sabor Manzana Verde</t>
        </is>
      </c>
      <c r="D61" s="493" t="n">
        <v>97</v>
      </c>
      <c r="E61" s="493" t="n">
        <v>109.05</v>
      </c>
      <c r="F61" s="493" t="n">
        <v>0</v>
      </c>
      <c r="G61" s="494" t="n">
        <v>0</v>
      </c>
      <c r="H61" s="493" t="n"/>
    </row>
    <row r="62">
      <c r="A62" s="167" t="inlineStr">
        <is>
          <t>503635003700</t>
        </is>
      </c>
      <c r="B62" s="223" t="inlineStr">
        <is>
          <t>JUSTCETRUX 60</t>
        </is>
      </c>
      <c r="C62" s="223" t="inlineStr">
        <is>
          <t>Vitamina C + Zinc + Probioticos Fos Justcetrux 60 Tabletas Manzana Verde</t>
        </is>
      </c>
      <c r="D62" s="493" t="n"/>
      <c r="E62" s="493" t="n">
        <v>109.05</v>
      </c>
      <c r="F62" s="493" t="n"/>
      <c r="G62" s="494" t="n"/>
      <c r="H62" s="493" t="n"/>
    </row>
    <row r="63">
      <c r="A63" s="167" t="inlineStr">
        <is>
          <t>503635001700</t>
        </is>
      </c>
      <c r="B63" s="223" t="inlineStr">
        <is>
          <t>JUSTCOLLAGEN 111 GOMAS</t>
        </is>
      </c>
      <c r="C63" s="223" t="inlineStr">
        <is>
          <t>Colágeno Hidrolizado Premium Justcollagen 111 Gomitas</t>
        </is>
      </c>
      <c r="D63" s="493" t="n">
        <v>390</v>
      </c>
      <c r="E63" s="493" t="n">
        <v>362.07</v>
      </c>
      <c r="F63" s="493" t="n">
        <v>0</v>
      </c>
      <c r="G63" s="494" t="n">
        <v>0</v>
      </c>
      <c r="H63" s="493" t="n"/>
    </row>
    <row r="64">
      <c r="A64" s="167" t="inlineStr">
        <is>
          <t>503635001700</t>
        </is>
      </c>
      <c r="B64" s="223" t="inlineStr">
        <is>
          <t>JUSTCOLLAGEN 111 GOMAS</t>
        </is>
      </c>
      <c r="C64" s="223" t="inlineStr">
        <is>
          <t>Colágeno Hidrolizado Premium Justcollagen 111 Gomitas Frutos Rojos</t>
        </is>
      </c>
      <c r="D64" s="493" t="n">
        <v>390</v>
      </c>
      <c r="E64" s="493" t="n">
        <v>362.07</v>
      </c>
      <c r="F64" s="493" t="n">
        <v>0</v>
      </c>
      <c r="G64" s="494" t="n">
        <v>0</v>
      </c>
      <c r="H64" s="493" t="n"/>
    </row>
    <row r="65">
      <c r="A65" s="167" t="inlineStr">
        <is>
          <t>503635001700</t>
        </is>
      </c>
      <c r="B65" s="223" t="inlineStr">
        <is>
          <t>JUSTCOLLAGEN 111 GOMAS</t>
        </is>
      </c>
      <c r="C65" s="223" t="inlineStr">
        <is>
          <t>Just Collagen Gomitas 111 Gomitas</t>
        </is>
      </c>
      <c r="D65" s="493" t="n">
        <v>390</v>
      </c>
      <c r="E65" s="493" t="n">
        <v>362.07</v>
      </c>
      <c r="F65" s="493" t="n">
        <v>0</v>
      </c>
      <c r="G65" s="494" t="n">
        <v>0</v>
      </c>
      <c r="H65" s="493" t="n"/>
    </row>
    <row r="66">
      <c r="A66" s="333" t="n">
        <v>503635006900</v>
      </c>
      <c r="B66" s="223" t="inlineStr">
        <is>
          <t>JUSTCOLLAGEN 111 GOMAS BAJA EN AZUCAR</t>
        </is>
      </c>
      <c r="C66" s="223" t="inlineStr">
        <is>
          <t>Colágeno Hidrolizado + Biotina 111 Gomas Bajas En Azucar Frutos Rojos</t>
        </is>
      </c>
      <c r="D66" s="493" t="n"/>
      <c r="E66" s="493" t="n">
        <v>334.48</v>
      </c>
      <c r="F66" s="493" t="n"/>
      <c r="G66" s="494" t="n"/>
      <c r="H66" s="493" t="n"/>
    </row>
    <row r="67">
      <c r="A67" s="333" t="n">
        <v>503635006900</v>
      </c>
      <c r="B67" s="223" t="inlineStr">
        <is>
          <t>JUSTCOLLAGEN 111 GOMAS BAJA EN AZUCAR</t>
        </is>
      </c>
      <c r="C67" s="223" t="inlineStr">
        <is>
          <t>Gomitas Colágeno Hidrolizado Biotina Olnatura 110 Frutos Rojos</t>
        </is>
      </c>
      <c r="D67" s="493" t="n"/>
      <c r="E67" s="493" t="n">
        <v>334.48</v>
      </c>
      <c r="F67" s="493" t="n"/>
      <c r="G67" s="494" t="n"/>
      <c r="H67" s="493" t="n"/>
    </row>
    <row r="68">
      <c r="A68" s="333" t="n">
        <v>503635006900</v>
      </c>
      <c r="B68" s="223" t="inlineStr">
        <is>
          <t>JUSTCOLLAGEN 111 GOMAS BAJA EN AZUCAR</t>
        </is>
      </c>
      <c r="C68" s="223" t="inlineStr">
        <is>
          <t>Gomitas Colágeno Hidrolizado Biotina Olnatura 111 Frutos Rojos</t>
        </is>
      </c>
      <c r="D68" s="493" t="n"/>
      <c r="E68" s="493" t="n">
        <v>334.48</v>
      </c>
      <c r="F68" s="493" t="n"/>
      <c r="G68" s="494" t="n"/>
      <c r="H68" s="493" t="n"/>
    </row>
    <row r="69">
      <c r="A69" s="333" t="n">
        <v>503635006900</v>
      </c>
      <c r="B69" s="223" t="inlineStr">
        <is>
          <t>JUSTCOLLAGEN 111 GOMAS BAJA EN AZUCAR</t>
        </is>
      </c>
      <c r="C69" s="223" t="inlineStr">
        <is>
          <t>JUST COLÁGENO H + BIOTINA 111 GOMITAS (BAJAS EN AZÚCAR)</t>
        </is>
      </c>
      <c r="D69" s="493" t="n"/>
      <c r="E69" s="493" t="n">
        <v>334.48</v>
      </c>
      <c r="F69" s="493" t="n"/>
      <c r="G69" s="494" t="n"/>
      <c r="H69" s="493" t="n"/>
    </row>
    <row r="70">
      <c r="A70" s="167" t="inlineStr">
        <is>
          <t>503635001700</t>
        </is>
      </c>
      <c r="B70" s="223" t="inlineStr">
        <is>
          <t>JUSTCOLLAGEN 111 GOMAS</t>
        </is>
      </c>
      <c r="C70" s="223" t="inlineStr">
        <is>
          <t>Just Collagen Gomitas 111 Gomitas Sabor Frutos Rojos</t>
        </is>
      </c>
      <c r="D70" s="493" t="n"/>
      <c r="E70" s="493" t="n">
        <v>362.07</v>
      </c>
      <c r="F70" s="493" t="n"/>
      <c r="G70" s="494" t="n"/>
      <c r="H70" s="493" t="n"/>
    </row>
    <row r="71">
      <c r="A71" s="167" t="inlineStr">
        <is>
          <t>503635002600</t>
        </is>
      </c>
      <c r="B71" s="223" t="inlineStr">
        <is>
          <t>JUSTCOLLAGEN 180 TABS</t>
        </is>
      </c>
      <c r="C71" s="223" t="inlineStr">
        <is>
          <t>Colágeno Hidrolizado Premium Justcollagen 180 Tabletas</t>
        </is>
      </c>
      <c r="D71" s="493" t="n">
        <v>395</v>
      </c>
      <c r="E71" s="493" t="n">
        <v>297.41</v>
      </c>
      <c r="F71" s="493" t="n">
        <v>0</v>
      </c>
      <c r="G71" s="494" t="n">
        <v>0</v>
      </c>
      <c r="H71" s="493" t="n"/>
    </row>
    <row r="72">
      <c r="A72" s="167" t="inlineStr">
        <is>
          <t>503635002600</t>
        </is>
      </c>
      <c r="B72" s="223" t="inlineStr">
        <is>
          <t>JUSTCOLLAGEN 180 TABS</t>
        </is>
      </c>
      <c r="C72" s="223" t="inlineStr">
        <is>
          <t>Just Collagen 180 Tabletas</t>
        </is>
      </c>
      <c r="D72" s="493" t="n">
        <v>395</v>
      </c>
      <c r="E72" s="493" t="n">
        <v>297.41</v>
      </c>
      <c r="F72" s="493">
        <f>D72*0.87</f>
        <v/>
      </c>
      <c r="G72" s="494">
        <f>F72/1.16</f>
        <v/>
      </c>
      <c r="H72" s="493" t="n"/>
    </row>
    <row r="73">
      <c r="A73" s="167" t="inlineStr">
        <is>
          <t>503635000501</t>
        </is>
      </c>
      <c r="B73" s="223" t="inlineStr">
        <is>
          <t>JUSTCOLLAGEN 90 TABS</t>
        </is>
      </c>
      <c r="C73" s="223" t="inlineStr">
        <is>
          <t>Colágeno Hidrolizado Premium Justcollagen 90 Tabletas</t>
        </is>
      </c>
      <c r="D73" s="493" t="n">
        <v>255.2</v>
      </c>
      <c r="E73" s="493" t="n">
        <v>241.38</v>
      </c>
      <c r="F73" s="493" t="n">
        <v>0</v>
      </c>
      <c r="G73" s="494" t="n">
        <v>0</v>
      </c>
      <c r="H73" s="493" t="n"/>
    </row>
    <row r="74">
      <c r="A74" s="167" t="inlineStr">
        <is>
          <t>503635000501</t>
        </is>
      </c>
      <c r="B74" s="223" t="inlineStr">
        <is>
          <t>JUSTCOLLAGEN 90 TABS</t>
        </is>
      </c>
      <c r="C74" s="223" t="inlineStr">
        <is>
          <t>Just Collagen 90 Tabletas</t>
        </is>
      </c>
      <c r="D74" s="493" t="n">
        <v>255.2</v>
      </c>
      <c r="E74" s="493" t="n">
        <v>241.38</v>
      </c>
      <c r="F74" s="493" t="n">
        <v>0</v>
      </c>
      <c r="G74" s="494" t="n">
        <v>0</v>
      </c>
      <c r="H74" s="493" t="n"/>
    </row>
    <row r="75">
      <c r="A75" s="226" t="inlineStr">
        <is>
          <t>503635695900</t>
        </is>
      </c>
      <c r="B75" s="223" t="inlineStr">
        <is>
          <t>JUSTFIBRA 30 TABS</t>
        </is>
      </c>
      <c r="C75" s="223" t="inlineStr">
        <is>
          <t>Olnatura Just Fibra 30 Tabletas Nutricional Fos Guayaba Sin Sabor</t>
        </is>
      </c>
      <c r="D75" s="493" t="n"/>
      <c r="E75" s="493" t="n">
        <v>112.07</v>
      </c>
      <c r="F75" s="223" t="n"/>
      <c r="G75" s="223" t="n"/>
      <c r="H75" s="493" t="n"/>
    </row>
    <row r="76">
      <c r="A76" s="226" t="inlineStr">
        <is>
          <t>503635695900</t>
        </is>
      </c>
      <c r="B76" s="223" t="inlineStr">
        <is>
          <t>JUSTFIBRA 30 TABS</t>
        </is>
      </c>
      <c r="C76" s="223" t="inlineStr">
        <is>
          <t>Suplemento En Tabletas Olnatura Just Suplemento Alimenticio Justfibra Fibra Dietética 30 Un Sin Sabor</t>
        </is>
      </c>
      <c r="D76" s="493" t="n"/>
      <c r="E76" s="493" t="n">
        <v>112.07</v>
      </c>
      <c r="F76" s="223" t="n"/>
      <c r="G76" s="223" t="n"/>
      <c r="H76" s="493" t="n"/>
    </row>
    <row r="77">
      <c r="A77" s="226" t="inlineStr">
        <is>
          <t>503635696000</t>
        </is>
      </c>
      <c r="B77" s="223" t="inlineStr">
        <is>
          <t>JUSTFIBRA120</t>
        </is>
      </c>
      <c r="C77" s="223" t="inlineStr">
        <is>
          <t>Olnatura Just Fibra 120 Tabletas Nutricionales</t>
        </is>
      </c>
      <c r="D77" s="493" t="n">
        <v>375</v>
      </c>
      <c r="E77" s="493" t="n">
        <v>375</v>
      </c>
      <c r="F77" s="223" t="n"/>
      <c r="G77" s="223" t="n"/>
      <c r="H77" s="493" t="n"/>
    </row>
    <row r="78">
      <c r="A78" s="226" t="inlineStr">
        <is>
          <t>503635696000</t>
        </is>
      </c>
      <c r="B78" s="223" t="inlineStr">
        <is>
          <t>JUSTFIBRA120</t>
        </is>
      </c>
      <c r="C78" s="223" t="inlineStr">
        <is>
          <t>Suplemento En Tabletas Olnatura Just Suplemento Alimenticio Justfibra 120 Fibra Dietética 120 Un Sin Sabor</t>
        </is>
      </c>
      <c r="D78" s="493" t="n">
        <v>375</v>
      </c>
      <c r="E78" s="493" t="n">
        <v>375</v>
      </c>
      <c r="F78" s="223" t="n"/>
      <c r="G78" s="223" t="n"/>
      <c r="H78" s="493" t="n"/>
    </row>
    <row r="79">
      <c r="A79" s="226" t="inlineStr">
        <is>
          <t>503635696000</t>
        </is>
      </c>
      <c r="B79" s="223" t="inlineStr">
        <is>
          <t>JUSTFIBRA120</t>
        </is>
      </c>
      <c r="C79" s="223" t="inlineStr">
        <is>
          <t>Suplemento En Tabletas Olnatura Just Suplemento Alimenticio Justfibra 120 Fibra Dietética 120 Un</t>
        </is>
      </c>
      <c r="D79" s="493" t="n">
        <v>375</v>
      </c>
      <c r="E79" s="493" t="n">
        <v>375</v>
      </c>
      <c r="F79" s="223" t="n"/>
      <c r="G79" s="223" t="n"/>
      <c r="H79" s="493" t="n"/>
    </row>
    <row r="80">
      <c r="A80" s="338" t="inlineStr">
        <is>
          <t>503635005600</t>
        </is>
      </c>
      <c r="B80" s="223" t="inlineStr">
        <is>
          <t xml:space="preserve"> Just fx 120+% cápsulas</t>
        </is>
      </c>
      <c r="C80" s="223" t="inlineStr">
        <is>
          <t xml:space="preserve"> Just fx 120+% cápsulas</t>
        </is>
      </c>
      <c r="D80" s="493" t="n">
        <v>507</v>
      </c>
      <c r="E80" s="493" t="n">
        <v>431.03</v>
      </c>
      <c r="F80" s="493">
        <f>D80*0.91</f>
        <v/>
      </c>
      <c r="G80" s="494">
        <f>F80/1.16</f>
        <v/>
      </c>
      <c r="H80" s="493" t="n"/>
    </row>
    <row r="81">
      <c r="A81" s="167" t="inlineStr">
        <is>
          <t>503635000705</t>
        </is>
      </c>
      <c r="B81" s="223" t="inlineStr">
        <is>
          <t>JUSTFX 120 CAPS</t>
        </is>
      </c>
      <c r="C81" s="223" t="inlineStr">
        <is>
          <t>Glucosamina Condroitina Premium Justfx 120 Cápsulas</t>
        </is>
      </c>
      <c r="D81" s="493" t="n">
        <v>507</v>
      </c>
      <c r="E81" s="493" t="n">
        <v>431.03</v>
      </c>
      <c r="F81" s="493">
        <f>D81*0.91</f>
        <v/>
      </c>
      <c r="G81" s="494">
        <f>F81/1.16</f>
        <v/>
      </c>
      <c r="H81" s="493" t="n"/>
    </row>
    <row r="82">
      <c r="A82" s="167" t="inlineStr">
        <is>
          <t>503635000705</t>
        </is>
      </c>
      <c r="B82" s="223" t="inlineStr">
        <is>
          <t>JUSTFX 120 CAPS</t>
        </is>
      </c>
      <c r="C82" s="223" t="inlineStr">
        <is>
          <t>Suplemento Olnatura Just Justfx Glucosamina Condroitina Con Ácido Hialurónico Y Colágeno 120 Cápsulas Sin Sabor</t>
        </is>
      </c>
      <c r="D82" s="493" t="n">
        <v>507</v>
      </c>
      <c r="E82" s="493" t="n">
        <v>431.03</v>
      </c>
      <c r="F82" s="493">
        <f>D82*0.91</f>
        <v/>
      </c>
      <c r="G82" s="494">
        <f>F82/1.16</f>
        <v/>
      </c>
      <c r="H82" s="493" t="n"/>
    </row>
    <row r="83" customFormat="1" s="331">
      <c r="A83" s="167" t="inlineStr">
        <is>
          <t>503635000705</t>
        </is>
      </c>
      <c r="B83" s="223" t="inlineStr">
        <is>
          <t>JUSTFX 120 CAPS</t>
        </is>
      </c>
      <c r="C83" s="223" t="inlineStr">
        <is>
          <t>Suplemento En Cápsulas Olnatura Just  Justfx Sulfato De Glucosamina En Pote De 66.92g 120 Un</t>
        </is>
      </c>
      <c r="D83" s="493" t="n">
        <v>507</v>
      </c>
      <c r="E83" s="493" t="n">
        <v>431.03</v>
      </c>
      <c r="F83" s="493">
        <f>D83*0.91</f>
        <v/>
      </c>
      <c r="G83" s="494">
        <f>F83/1.16</f>
        <v/>
      </c>
      <c r="H83" s="497" t="n"/>
    </row>
    <row r="84" customFormat="1" s="331">
      <c r="A84" s="167" t="inlineStr">
        <is>
          <t>503635000705</t>
        </is>
      </c>
      <c r="B84" s="223" t="inlineStr">
        <is>
          <t>JUSTFX 120 CAPS</t>
        </is>
      </c>
      <c r="C84" s="223" t="inlineStr">
        <is>
          <t>Olnatura Just Justfx Suplemento Glucosamina Condroitina Colágeno 120 Cápsulas Sin Sabor</t>
        </is>
      </c>
      <c r="D84" s="493" t="n">
        <v>507</v>
      </c>
      <c r="E84" s="493" t="n">
        <v>431.03</v>
      </c>
      <c r="F84" s="493">
        <f>D84*0.91</f>
        <v/>
      </c>
      <c r="G84" s="494">
        <f>F84/1.16</f>
        <v/>
      </c>
      <c r="H84" s="497" t="n"/>
    </row>
    <row r="85" customFormat="1" s="331">
      <c r="A85" s="167" t="inlineStr">
        <is>
          <t>503635000705</t>
        </is>
      </c>
      <c r="B85" s="223" t="inlineStr">
        <is>
          <t>JUSTFX 120 CAPS</t>
        </is>
      </c>
      <c r="C85" s="223" t="inlineStr">
        <is>
          <t>Suplemento Olnatura Just Justfx Glucosamina Condroitina Con Ácido Hialurónico Y Colágeno 120 Cápsulas</t>
        </is>
      </c>
      <c r="D85" s="493" t="n">
        <v>507</v>
      </c>
      <c r="E85" s="493" t="n">
        <v>431.03</v>
      </c>
      <c r="F85" s="493">
        <f>D85*0.91</f>
        <v/>
      </c>
      <c r="G85" s="494">
        <f>F85/1.16</f>
        <v/>
      </c>
      <c r="H85" s="497" t="n"/>
    </row>
    <row r="86">
      <c r="A86" s="167" t="inlineStr">
        <is>
          <t>503635000705</t>
        </is>
      </c>
      <c r="B86" s="223" t="inlineStr">
        <is>
          <t>JUSTFX 120 CAPS</t>
        </is>
      </c>
      <c r="C86" s="223" t="inlineStr">
        <is>
          <t>Olnatura Just Fx Glucosamina 120 Cápsulas Nutricional</t>
        </is>
      </c>
      <c r="D86" s="493" t="n">
        <v>507</v>
      </c>
      <c r="E86" s="493" t="n">
        <v>431.03</v>
      </c>
      <c r="F86" s="493">
        <f>D86*0.91</f>
        <v/>
      </c>
      <c r="G86" s="494">
        <f>F86/1.16</f>
        <v/>
      </c>
      <c r="H86" s="493" t="n"/>
    </row>
    <row r="87">
      <c r="A87" s="167" t="inlineStr">
        <is>
          <t>503635000705</t>
        </is>
      </c>
      <c r="B87" s="223" t="inlineStr">
        <is>
          <t>JUSTFX 120 CAPS</t>
        </is>
      </c>
      <c r="C87" s="223" t="inlineStr">
        <is>
          <t>Olnatura Just Fx Glucosamina 120 Cápsulas Nutricional N/a</t>
        </is>
      </c>
      <c r="D87" s="493" t="n">
        <v>507</v>
      </c>
      <c r="E87" s="493" t="n">
        <v>431.03</v>
      </c>
      <c r="F87" s="493">
        <f>D87*0.91</f>
        <v/>
      </c>
      <c r="G87" s="494">
        <f>F87/1.16</f>
        <v/>
      </c>
      <c r="H87" s="493" t="n"/>
    </row>
    <row r="88">
      <c r="A88" s="167" t="inlineStr">
        <is>
          <t>503635000705</t>
        </is>
      </c>
      <c r="B88" s="223" t="inlineStr">
        <is>
          <t>JUSTFX 120 CAPS</t>
        </is>
      </c>
      <c r="C88" s="223" t="inlineStr">
        <is>
          <t>Olnatura Just Fx 120 Cápsulas De Glucosamina N/a</t>
        </is>
      </c>
      <c r="D88" s="493" t="n">
        <v>507</v>
      </c>
      <c r="E88" s="493" t="n">
        <v>431.03</v>
      </c>
      <c r="F88" s="493">
        <f>D88*0.91</f>
        <v/>
      </c>
      <c r="G88" s="494">
        <f>F88/1.16</f>
        <v/>
      </c>
      <c r="H88" s="493" t="n"/>
    </row>
    <row r="89">
      <c r="A89" s="167" t="inlineStr">
        <is>
          <t>503635000705</t>
        </is>
      </c>
      <c r="B89" s="223" t="inlineStr">
        <is>
          <t>JUSTFX 120 CAPS</t>
        </is>
      </c>
      <c r="C89" s="223" t="inlineStr">
        <is>
          <t>Suplemento En Cápsulas Olnatura Just Justfx Sulfato De Glucosamina En Pote De 66.92g 120 Un</t>
        </is>
      </c>
      <c r="D89" s="493" t="n">
        <v>507</v>
      </c>
      <c r="E89" s="493" t="n">
        <v>431.03</v>
      </c>
      <c r="H89" s="493" t="n"/>
    </row>
    <row r="90">
      <c r="A90" s="167" t="inlineStr">
        <is>
          <t>503635000705</t>
        </is>
      </c>
      <c r="B90" s="223" t="inlineStr">
        <is>
          <t>JUSTFX 120 CAPS</t>
        </is>
      </c>
      <c r="C90" s="223" t="inlineStr">
        <is>
          <t>Olnatura Just Fx Glucosamina 120 Cápsulas Nutricional Sin Sabor</t>
        </is>
      </c>
      <c r="D90" s="493" t="n">
        <v>507</v>
      </c>
      <c r="E90" s="493" t="n">
        <v>431.03</v>
      </c>
      <c r="H90" s="493" t="n"/>
    </row>
    <row r="91">
      <c r="A91" s="333" t="n">
        <v>503635000900</v>
      </c>
      <c r="B91" s="223" t="inlineStr">
        <is>
          <t>JUSTFX 90 CAPS</t>
        </is>
      </c>
      <c r="C91" s="223" t="inlineStr">
        <is>
          <t>Glucosamina Condroitina Premium Justfx 90 Cápsulas</t>
        </is>
      </c>
      <c r="D91" s="493" t="n">
        <v>399</v>
      </c>
      <c r="E91" s="493" t="n">
        <v>370.69</v>
      </c>
      <c r="F91" s="493">
        <f>D91*0.91</f>
        <v/>
      </c>
      <c r="G91" s="494">
        <f>F91/1.16</f>
        <v/>
      </c>
      <c r="H91" s="493" t="n"/>
    </row>
    <row r="92">
      <c r="A92" s="333" t="n">
        <v>503635000900</v>
      </c>
      <c r="B92" s="223" t="inlineStr">
        <is>
          <t>JUSTFX 90 CAPS</t>
        </is>
      </c>
      <c r="C92" s="223" t="inlineStr">
        <is>
          <t>Justfx 90 Cápsulas De Glucosamina Olnatura</t>
        </is>
      </c>
      <c r="D92" s="493" t="n">
        <v>399</v>
      </c>
      <c r="E92" s="493" t="n">
        <v>375</v>
      </c>
      <c r="F92" s="493">
        <f>D92*0.91</f>
        <v/>
      </c>
      <c r="G92" s="494">
        <f>F92/1.16</f>
        <v/>
      </c>
      <c r="H92" s="493" t="n"/>
    </row>
    <row r="93">
      <c r="A93" s="333" t="n">
        <v>503635000900</v>
      </c>
      <c r="B93" s="223" t="inlineStr">
        <is>
          <t>JUSTFX 90 CAPS</t>
        </is>
      </c>
      <c r="C93" s="223" t="inlineStr">
        <is>
          <t>Olnatura Justfx 90 Cápsulas De Glucosamina N/a</t>
        </is>
      </c>
      <c r="D93" s="493" t="n">
        <v>399</v>
      </c>
      <c r="E93" s="493" t="n">
        <v>375</v>
      </c>
      <c r="F93" s="493">
        <f>D93*0.91</f>
        <v/>
      </c>
      <c r="G93" s="494">
        <f>F93/1.16</f>
        <v/>
      </c>
      <c r="H93" s="493" t="n"/>
    </row>
    <row r="94">
      <c r="A94" s="333" t="n">
        <v>503635000900</v>
      </c>
      <c r="B94" s="223" t="inlineStr">
        <is>
          <t>JUSTFX 90 CAPS</t>
        </is>
      </c>
      <c r="C94" s="223" t="inlineStr">
        <is>
          <t>Olnatura Just Justfx Glucosamina 90 Cápsulas 50.19g N/a</t>
        </is>
      </c>
      <c r="D94" s="493" t="n">
        <v>399</v>
      </c>
      <c r="E94" s="493" t="n">
        <v>375</v>
      </c>
      <c r="F94" s="493">
        <f>D94*0.91</f>
        <v/>
      </c>
      <c r="G94" s="494">
        <f>F94/1.16</f>
        <v/>
      </c>
      <c r="H94" s="493" t="n"/>
    </row>
    <row r="95">
      <c r="A95" s="333" t="n">
        <v>503635000900</v>
      </c>
      <c r="B95" s="223" t="inlineStr">
        <is>
          <t>JUSTFX 90 CAPS</t>
        </is>
      </c>
      <c r="C95" s="223" t="inlineStr">
        <is>
          <t>Suplemento En Cápsulas Olnatura Just  Justfx Sulfato De Glucosamina En Pote De 50.19g 90 un</t>
        </is>
      </c>
      <c r="D95" s="493" t="n">
        <v>399</v>
      </c>
      <c r="E95" s="493" t="n">
        <v>375</v>
      </c>
      <c r="F95" s="493" t="n">
        <v>0</v>
      </c>
      <c r="G95" s="494" t="n">
        <v>0</v>
      </c>
      <c r="H95" s="493" t="n"/>
    </row>
    <row r="96">
      <c r="A96" s="333" t="n">
        <v>503635000900</v>
      </c>
      <c r="B96" s="223" t="inlineStr">
        <is>
          <t>JUSTFX 90 CAPS</t>
        </is>
      </c>
      <c r="C96" s="223" t="inlineStr">
        <is>
          <t>Suplemento Olnatura Just Sulfato De Glucosamina De 0.557g X 90 Un - Cápsula</t>
        </is>
      </c>
      <c r="D96" s="493" t="n">
        <v>399</v>
      </c>
      <c r="E96" s="493" t="n">
        <v>375</v>
      </c>
      <c r="F96" s="493" t="n">
        <v>0</v>
      </c>
      <c r="G96" s="494" t="n">
        <v>0</v>
      </c>
      <c r="H96" s="493" t="n"/>
    </row>
    <row r="97">
      <c r="A97" s="333" t="n">
        <v>503635000900</v>
      </c>
      <c r="B97" s="223" t="inlineStr">
        <is>
          <t>JUSTFX 90 CAPS</t>
        </is>
      </c>
      <c r="C97" s="223" t="inlineStr">
        <is>
          <t>Suplemento En Cápsula Olnatura Just Sulfato De Glucosamina X 557mg</t>
        </is>
      </c>
      <c r="D97" s="493" t="n">
        <v>399</v>
      </c>
      <c r="E97" s="493" t="n">
        <v>375</v>
      </c>
      <c r="F97" s="493" t="n">
        <v>0</v>
      </c>
      <c r="G97" s="494" t="n">
        <v>0</v>
      </c>
      <c r="H97" s="493" t="n"/>
    </row>
    <row r="98">
      <c r="A98" s="333" t="n">
        <v>503635000900</v>
      </c>
      <c r="B98" s="223" t="inlineStr">
        <is>
          <t>JUSTFX 90 CAPS</t>
        </is>
      </c>
      <c r="C98" s="223" t="inlineStr">
        <is>
          <t>Suplemento En Cápsulas Olnatura Just Justfx Sulfato De Glucosamina En Pote De 50.19g 90 Un</t>
        </is>
      </c>
      <c r="D98" s="493" t="n">
        <v>399</v>
      </c>
      <c r="E98" s="493" t="n">
        <v>375</v>
      </c>
      <c r="F98" s="493" t="n"/>
      <c r="G98" s="494" t="n"/>
      <c r="H98" s="493" t="n"/>
    </row>
    <row r="99">
      <c r="A99" s="333" t="n">
        <v>503635000900</v>
      </c>
      <c r="B99" s="223" t="inlineStr">
        <is>
          <t>JUSTFX 90 CAPS</t>
        </is>
      </c>
      <c r="C99" s="223" t="inlineStr">
        <is>
          <t>Suplemento Olnatura Just Justfx De 0.557g  X 90 Un - Cápsula</t>
        </is>
      </c>
      <c r="D99" s="493" t="n">
        <v>399</v>
      </c>
      <c r="E99" s="493" t="n">
        <v>375</v>
      </c>
      <c r="F99" s="493" t="n"/>
      <c r="G99" s="494" t="n"/>
      <c r="H99" s="493" t="n"/>
    </row>
    <row r="100">
      <c r="A100" s="334" t="n">
        <v>503635005900</v>
      </c>
      <c r="B100" s="223" t="inlineStr">
        <is>
          <t>JUSTOLFOCUS 90 CAPS</t>
        </is>
      </c>
      <c r="C100" s="223" t="inlineStr">
        <is>
          <t>Olnatura Just Olfocus 90 Cápsulas L-glutamina + Vitaminas</t>
        </is>
      </c>
      <c r="D100" s="493" t="n">
        <v>493</v>
      </c>
      <c r="E100" s="493" t="n">
        <v>344.83</v>
      </c>
      <c r="F100" s="223">
        <f>D100*0.95</f>
        <v/>
      </c>
      <c r="G100" s="223">
        <f>F100/1.16</f>
        <v/>
      </c>
      <c r="H100" s="493" t="n"/>
    </row>
    <row r="101">
      <c r="A101" s="334" t="n">
        <v>503635005900</v>
      </c>
      <c r="B101" s="223" t="inlineStr">
        <is>
          <t>JUSTOLFOCUS 90 CAPS</t>
        </is>
      </c>
      <c r="C101" s="223" t="inlineStr">
        <is>
          <t>Justolfocus 90 Cápsulas de Glutamina + 7 Vitaminas</t>
        </is>
      </c>
      <c r="D101" s="493" t="n">
        <v>493</v>
      </c>
      <c r="E101" s="493" t="n">
        <v>344.83</v>
      </c>
      <c r="F101" s="223">
        <f>D101*0.95</f>
        <v/>
      </c>
      <c r="G101" s="223">
        <f>F101/1.16</f>
        <v/>
      </c>
      <c r="H101" s="493" t="n"/>
    </row>
    <row r="102">
      <c r="A102" s="334" t="n">
        <v>503635005900</v>
      </c>
      <c r="B102" s="223" t="inlineStr">
        <is>
          <t>JUSTOLFOCUS 90 CAPS</t>
        </is>
      </c>
      <c r="C102" s="223" t="inlineStr">
        <is>
          <t>Olnatura Just Olfocus 90 Cápsulas L-glutamina + Vitaminas Sin Sabor</t>
        </is>
      </c>
      <c r="D102" s="493" t="n">
        <v>493</v>
      </c>
      <c r="E102" s="493" t="n">
        <v>344.83</v>
      </c>
      <c r="F102" s="223">
        <f>D102*0.95</f>
        <v/>
      </c>
      <c r="G102" s="223">
        <f>F102/1.16</f>
        <v/>
      </c>
      <c r="H102" s="493" t="n"/>
    </row>
    <row r="103">
      <c r="A103" s="334" t="n">
        <v>503635005900</v>
      </c>
      <c r="B103" s="223" t="inlineStr">
        <is>
          <t>JUSTOLFOCUS 90 CAPS</t>
        </is>
      </c>
      <c r="C103" s="223" t="inlineStr">
        <is>
          <t>Justolfocus 90 Cápsulas De Glutamina + 7 Vitaminas Sabor Sin Sabor</t>
        </is>
      </c>
      <c r="D103" s="493" t="n"/>
      <c r="E103" s="493" t="n">
        <v>344.83</v>
      </c>
      <c r="F103" s="493" t="n"/>
      <c r="G103" s="494" t="n"/>
      <c r="H103" s="493" t="n"/>
    </row>
    <row r="104" customFormat="1" s="227">
      <c r="A104" s="167" t="inlineStr">
        <is>
          <t>503635001800</t>
        </is>
      </c>
      <c r="B104" s="223" t="inlineStr">
        <is>
          <t>JUSTOMEGA-3 110 GOMAS</t>
        </is>
      </c>
      <c r="C104" s="223" t="inlineStr">
        <is>
          <t>110 Gomitas Sabor Mandarina Omega 3 Dha Y Epa Just Olnatura</t>
        </is>
      </c>
      <c r="D104" s="493" t="n">
        <v>390</v>
      </c>
      <c r="E104" s="493" t="n">
        <v>331.9</v>
      </c>
      <c r="F104" s="493">
        <f>D104*0.95</f>
        <v/>
      </c>
      <c r="G104" s="494">
        <f>F104/1.16</f>
        <v/>
      </c>
      <c r="H104" s="498" t="n"/>
    </row>
    <row r="105" customFormat="1" s="223">
      <c r="A105" s="167" t="inlineStr">
        <is>
          <t>503635001800</t>
        </is>
      </c>
      <c r="B105" s="223" t="inlineStr">
        <is>
          <t>JUSTOMEGA-3 110 GOMAS</t>
        </is>
      </c>
      <c r="C105" s="223" t="inlineStr">
        <is>
          <t>Olnatura Just For You Omega 3 Gomitas 110 Unidades</t>
        </is>
      </c>
      <c r="D105" s="493" t="n">
        <v>390</v>
      </c>
      <c r="E105" s="493" t="n">
        <v>331.9</v>
      </c>
      <c r="F105" s="493">
        <f>D105*0.95</f>
        <v/>
      </c>
      <c r="G105" s="494">
        <f>F105/1.16</f>
        <v/>
      </c>
      <c r="H105" s="493" t="n"/>
    </row>
    <row r="106" customFormat="1" s="223">
      <c r="A106" s="167" t="inlineStr">
        <is>
          <t>503635001800</t>
        </is>
      </c>
      <c r="B106" s="223" t="inlineStr">
        <is>
          <t>JUSTOMEGA-3 110 GOMAS</t>
        </is>
      </c>
      <c r="C106" s="223" t="inlineStr">
        <is>
          <t>Omega 3, Dha Y Epa Premium Justomega 3 110 Gomitas</t>
        </is>
      </c>
      <c r="D106" s="493" t="n">
        <v>390</v>
      </c>
      <c r="E106" s="493" t="n">
        <v>331.9</v>
      </c>
      <c r="F106" s="493">
        <f>D106*0.95</f>
        <v/>
      </c>
      <c r="G106" s="494">
        <f>F106/1.16</f>
        <v/>
      </c>
      <c r="H106" s="493" t="n"/>
    </row>
    <row r="107">
      <c r="A107" s="167" t="inlineStr">
        <is>
          <t>503635001800</t>
        </is>
      </c>
      <c r="B107" s="223" t="inlineStr">
        <is>
          <t>JUSTOMEGA-3 110 GOMAS</t>
        </is>
      </c>
      <c r="C107" s="223" t="inlineStr">
        <is>
          <t>Omega 3, Dha Y Epa Premium Justomega 3 110 Gomitas Sabor Mandarina</t>
        </is>
      </c>
      <c r="D107" s="493" t="n">
        <v>390</v>
      </c>
      <c r="E107" s="493" t="n">
        <v>331.9</v>
      </c>
      <c r="F107" s="493">
        <f>D107*0.95</f>
        <v/>
      </c>
      <c r="G107" s="494">
        <f>F107/1.16</f>
        <v/>
      </c>
      <c r="H107" s="493" t="n"/>
    </row>
    <row r="108">
      <c r="A108" s="333" t="n">
        <v>503635007100</v>
      </c>
      <c r="B108" s="223" t="inlineStr">
        <is>
          <t>JUSTOMEGA-3 110 GOMAS BAJAS EN AZUCAR</t>
        </is>
      </c>
      <c r="C108" s="223" t="inlineStr">
        <is>
          <t>Omega 3 Dha Y Epa Premium, 110 Gomas, Reducidas En Azúcar Mandarina</t>
        </is>
      </c>
      <c r="D108" s="493" t="n"/>
      <c r="E108" s="493" t="n">
        <v>334.48</v>
      </c>
      <c r="F108" s="493" t="n"/>
      <c r="G108" s="494" t="n"/>
      <c r="H108" s="493" t="n"/>
    </row>
    <row r="109">
      <c r="A109" s="333" t="n">
        <v>503635007100</v>
      </c>
      <c r="B109" s="223" t="inlineStr">
        <is>
          <t>JUSTOMEGA-3 110 GOMAS BAJAS EN AZUCAR</t>
        </is>
      </c>
      <c r="C109" s="223" t="inlineStr">
        <is>
          <t>JUST OMEGA 3 + DHA Y EPA 110 GOMITAS (BAJAS EN AZÚCAR)</t>
        </is>
      </c>
      <c r="D109" s="493" t="n"/>
      <c r="E109" s="493" t="n">
        <v>334.48</v>
      </c>
      <c r="F109" s="493" t="n"/>
      <c r="G109" s="494" t="n"/>
      <c r="H109" s="493" t="n"/>
    </row>
    <row r="110">
      <c r="A110" s="167" t="n">
        <v>4</v>
      </c>
      <c r="B110" s="223" t="inlineStr">
        <is>
          <t>Kit Collagen 111 + Biotina 120</t>
        </is>
      </c>
      <c r="C110" s="223" t="inlineStr">
        <is>
          <t>Kit Gomitas De Colágeno + Biotina</t>
        </is>
      </c>
      <c r="D110" s="493" t="n">
        <v>645.0599999999999</v>
      </c>
      <c r="E110" s="493" t="inlineStr">
        <is>
          <t>KIT</t>
        </is>
      </c>
      <c r="F110" s="493" t="n">
        <v>0</v>
      </c>
      <c r="G110" s="494" t="n">
        <v>0</v>
      </c>
      <c r="H110" s="493" t="n"/>
    </row>
    <row r="111">
      <c r="A111" s="167" t="n">
        <v>6</v>
      </c>
      <c r="B111" s="223" t="inlineStr">
        <is>
          <t>Kit Collagen 111 + Colllagen 180 + Collagen 210 gr</t>
        </is>
      </c>
      <c r="C111" s="223" t="inlineStr">
        <is>
          <t>Kit De Colágeno Hidrolizado: Polvo + Gomitas + Tabletas</t>
        </is>
      </c>
      <c r="D111" s="493" t="n">
        <v>1047.6</v>
      </c>
      <c r="E111" s="493" t="inlineStr">
        <is>
          <t>KIT</t>
        </is>
      </c>
      <c r="F111" s="493" t="n">
        <v>0</v>
      </c>
      <c r="G111" s="494" t="n">
        <v>0</v>
      </c>
      <c r="H111" s="493" t="n"/>
    </row>
    <row r="112">
      <c r="A112" s="167" t="n">
        <v>5</v>
      </c>
      <c r="B112" s="223" t="inlineStr">
        <is>
          <t>Kit Collagen 111 + Probióticos 110 + Omega 110</t>
        </is>
      </c>
      <c r="C112" s="223" t="inlineStr">
        <is>
          <t>Kit Gomitas: Colágeno Hidrolizado, Probióticos Y Omega 3</t>
        </is>
      </c>
      <c r="D112" s="493" t="n">
        <v>1070.11</v>
      </c>
      <c r="E112" s="493" t="inlineStr">
        <is>
          <t>KIT</t>
        </is>
      </c>
      <c r="F112" s="493" t="n">
        <v>0</v>
      </c>
      <c r="G112" s="494" t="n">
        <v>0</v>
      </c>
      <c r="H112" s="493" t="n"/>
    </row>
    <row r="113">
      <c r="A113" s="167" t="n">
        <v>2</v>
      </c>
      <c r="B113" s="223" t="inlineStr">
        <is>
          <t>Kit JustFx 120 + Collagen 180</t>
        </is>
      </c>
      <c r="C113" s="223" t="inlineStr">
        <is>
          <t>Kit Best Seller: Glucosamina Justfx + Colágeno Justcollagen</t>
        </is>
      </c>
      <c r="D113" s="493" t="n">
        <v>811.8</v>
      </c>
      <c r="E113" s="493" t="inlineStr">
        <is>
          <t>KIT</t>
        </is>
      </c>
      <c r="F113" s="493" t="n">
        <v>0</v>
      </c>
      <c r="G113" s="494" t="n">
        <v>0</v>
      </c>
      <c r="H113" s="493" t="n"/>
    </row>
    <row r="114">
      <c r="A114" s="167" t="n">
        <v>1</v>
      </c>
      <c r="B114" s="223" t="inlineStr">
        <is>
          <t>Kit JustFx 90 + Collagen 90</t>
        </is>
      </c>
      <c r="C114" s="223" t="inlineStr">
        <is>
          <t>Kit Glucosamina Justfx + Colágeno Justcollagen</t>
        </is>
      </c>
      <c r="D114" s="493" t="n">
        <v>588.78</v>
      </c>
      <c r="E114" s="493" t="inlineStr">
        <is>
          <t>KIT</t>
        </is>
      </c>
      <c r="F114" s="493" t="n">
        <v>0</v>
      </c>
      <c r="G114" s="494" t="n">
        <v>0</v>
      </c>
      <c r="H114" s="493" t="n"/>
    </row>
    <row r="115">
      <c r="A115" s="167" t="n">
        <v>7</v>
      </c>
      <c r="B115" s="223" t="inlineStr">
        <is>
          <t>Kit JustFx 90 + Gluco 240 + Omega 110</t>
        </is>
      </c>
      <c r="C115" s="223" t="inlineStr">
        <is>
          <t>Kit Deportivo Justfx: Glucosamina Condroitina + Omega 3</t>
        </is>
      </c>
      <c r="D115" s="493" t="n">
        <v>1247.41</v>
      </c>
      <c r="E115" s="493" t="inlineStr">
        <is>
          <t>KIT</t>
        </is>
      </c>
      <c r="F115" s="493" t="n">
        <v>0</v>
      </c>
      <c r="G115" s="494" t="n">
        <v>0</v>
      </c>
      <c r="H115" s="493" t="n"/>
    </row>
    <row r="116">
      <c r="A116" s="167" t="n">
        <v>3</v>
      </c>
      <c r="B116" s="223" t="inlineStr">
        <is>
          <t>Kit Probióticos 120 + Omega 3 120</t>
        </is>
      </c>
      <c r="C116" s="223" t="inlineStr">
        <is>
          <t>Kit Probióticos + Omega, 120 Gomitas Por Frasco</t>
        </is>
      </c>
      <c r="D116" s="493" t="n">
        <v>549.1</v>
      </c>
      <c r="E116" s="493" t="inlineStr">
        <is>
          <t>KIT</t>
        </is>
      </c>
      <c r="F116" s="493" t="n">
        <v>0</v>
      </c>
      <c r="G116" s="494" t="n">
        <v>0</v>
      </c>
      <c r="H116" s="493" t="n"/>
    </row>
    <row r="117">
      <c r="A117" s="167" t="inlineStr">
        <is>
          <t>503635004300</t>
        </is>
      </c>
      <c r="B117" s="223" t="inlineStr">
        <is>
          <t>OMEGA 3 120 GOMAS</t>
        </is>
      </c>
      <c r="C117" s="223" t="inlineStr">
        <is>
          <t>Just Omega 3 120 Gomitas Olnatura</t>
        </is>
      </c>
      <c r="D117" s="493" t="n">
        <v>289</v>
      </c>
      <c r="E117" s="493" t="n">
        <v>267.24</v>
      </c>
      <c r="F117" s="493">
        <f>D117*0.95</f>
        <v/>
      </c>
      <c r="G117" s="494">
        <f>F117/1.16</f>
        <v/>
      </c>
      <c r="H117" s="493" t="n"/>
    </row>
    <row r="118">
      <c r="A118" s="167" t="inlineStr">
        <is>
          <t>503635004300</t>
        </is>
      </c>
      <c r="B118" s="223" t="inlineStr">
        <is>
          <t>OMEGA 3 120 GOMAS</t>
        </is>
      </c>
      <c r="C118" s="223" t="inlineStr">
        <is>
          <t>Olnatura Just Gomitas Omega 3 Epa Y Dha 120 Unid.</t>
        </is>
      </c>
      <c r="D118" s="493" t="n">
        <v>289</v>
      </c>
      <c r="E118" s="493" t="n">
        <v>267.24</v>
      </c>
      <c r="F118" s="493">
        <f>D118*0.95</f>
        <v/>
      </c>
      <c r="G118" s="494">
        <f>F118/1.16</f>
        <v/>
      </c>
      <c r="H118" s="493" t="n"/>
    </row>
    <row r="119">
      <c r="A119" s="167" t="inlineStr">
        <is>
          <t>503635004300</t>
        </is>
      </c>
      <c r="B119" s="223" t="inlineStr">
        <is>
          <t>OMEGA 3 120 GOMAS</t>
        </is>
      </c>
      <c r="C119" s="223" t="inlineStr">
        <is>
          <t>Olnatura Just Gomitas Omega 3 Epa Y Dha 120 Unid. Mandarina</t>
        </is>
      </c>
      <c r="D119" s="493" t="n">
        <v>289</v>
      </c>
      <c r="E119" s="493" t="n">
        <v>267.24</v>
      </c>
      <c r="F119" s="493">
        <f>D119*0.95</f>
        <v/>
      </c>
      <c r="G119" s="494">
        <f>F119/1.16</f>
        <v/>
      </c>
      <c r="H119" s="493" t="n"/>
    </row>
    <row r="120">
      <c r="A120" s="167" t="inlineStr">
        <is>
          <t>503635004300</t>
        </is>
      </c>
      <c r="B120" s="223" t="inlineStr">
        <is>
          <t>OMEGA 3 120 GOMAS</t>
        </is>
      </c>
      <c r="C120" s="223" t="inlineStr">
        <is>
          <t>Just Omega 3 120 Gomitas Olnatura Mandarina</t>
        </is>
      </c>
      <c r="D120" s="493" t="n">
        <v>289</v>
      </c>
      <c r="E120" s="493" t="n">
        <v>267.24</v>
      </c>
      <c r="F120" s="493">
        <f>D120*0.95</f>
        <v/>
      </c>
      <c r="G120" s="494">
        <f>F120/1.16</f>
        <v/>
      </c>
      <c r="H120" s="493" t="n"/>
    </row>
    <row r="121">
      <c r="A121" s="167" t="inlineStr">
        <is>
          <t>503635004300</t>
        </is>
      </c>
      <c r="B121" s="223" t="inlineStr">
        <is>
          <t>OMEGA 3 120 GOMAS</t>
        </is>
      </c>
      <c r="C121" s="223" t="inlineStr">
        <is>
          <t>Ácidos Grasos Omega 3 Epa Y Dha Olnatura Just 120 Gomitas Sabor Mandarina</t>
        </is>
      </c>
      <c r="D121" s="493" t="n">
        <v>289</v>
      </c>
      <c r="E121" s="493" t="n">
        <v>267.24</v>
      </c>
      <c r="F121" s="493">
        <f>D121*0.95</f>
        <v/>
      </c>
      <c r="G121" s="494">
        <f>F121/1.16</f>
        <v/>
      </c>
      <c r="H121" s="493" t="n"/>
    </row>
    <row r="122">
      <c r="A122" s="167" t="inlineStr">
        <is>
          <t>503635004400</t>
        </is>
      </c>
      <c r="B122" s="223" t="inlineStr">
        <is>
          <t>PROBIÓTICOS + FIBRA 120 GOMAS</t>
        </is>
      </c>
      <c r="C122" s="223" t="inlineStr">
        <is>
          <t>Probióticos + Fibra 120 Gomitas Olnatura Just</t>
        </is>
      </c>
      <c r="D122" s="493" t="n">
        <v>289</v>
      </c>
      <c r="E122" s="493" t="n">
        <v>258.62</v>
      </c>
      <c r="F122" s="493">
        <f>D122*0.95</f>
        <v/>
      </c>
      <c r="G122" s="494">
        <f>F122/1.16</f>
        <v/>
      </c>
      <c r="H122" s="493" t="n"/>
    </row>
    <row r="123">
      <c r="A123" s="167" t="inlineStr">
        <is>
          <t>503635004400</t>
        </is>
      </c>
      <c r="B123" s="223" t="inlineStr">
        <is>
          <t>PROBIÓTICOS + FIBRA 120 GOMAS</t>
        </is>
      </c>
      <c r="C123" s="223" t="inlineStr">
        <is>
          <t>Gomitas Probióticos Con Fibra Arándano Olnatura Just 120 Unid</t>
        </is>
      </c>
      <c r="D123" s="493" t="n">
        <v>289</v>
      </c>
      <c r="E123" s="493" t="n">
        <v>258.62</v>
      </c>
      <c r="F123" s="493">
        <f>D123*0.95</f>
        <v/>
      </c>
      <c r="G123" s="494">
        <f>F123/1.16</f>
        <v/>
      </c>
      <c r="H123" s="493" t="n"/>
    </row>
    <row r="124">
      <c r="A124" s="167" t="inlineStr">
        <is>
          <t>503635004400</t>
        </is>
      </c>
      <c r="B124" s="223" t="inlineStr">
        <is>
          <t>PROBIÓTICOS + FIBRA 120 GOMAS</t>
        </is>
      </c>
      <c r="C124" s="223" t="inlineStr">
        <is>
          <t>Probióticos + Fibra 120 Gomitas Olnatura Just Arándano</t>
        </is>
      </c>
      <c r="D124" s="493" t="n">
        <v>289</v>
      </c>
      <c r="E124" s="493" t="n">
        <v>258.62</v>
      </c>
      <c r="F124" s="493">
        <f>D124*0.95</f>
        <v/>
      </c>
      <c r="G124" s="494">
        <f>F124/1.16</f>
        <v/>
      </c>
      <c r="H124" s="493" t="n"/>
    </row>
    <row r="125">
      <c r="A125" s="167" t="inlineStr">
        <is>
          <t>503635004400</t>
        </is>
      </c>
      <c r="B125" s="223" t="inlineStr">
        <is>
          <t>PROBIÓTICOS + FIBRA 120 GOMAS</t>
        </is>
      </c>
      <c r="C125" s="223" t="inlineStr">
        <is>
          <t>Olnatura Just Probioticos 120 Gomitas Arándano</t>
        </is>
      </c>
      <c r="D125" s="493" t="n">
        <v>289</v>
      </c>
      <c r="E125" s="493" t="n">
        <v>258.62</v>
      </c>
      <c r="F125" s="493">
        <f>D125*0.95</f>
        <v/>
      </c>
      <c r="G125" s="494">
        <f>F125/1.16</f>
        <v/>
      </c>
      <c r="H125" s="493" t="n"/>
    </row>
    <row r="126">
      <c r="A126" s="167" t="inlineStr">
        <is>
          <t>503635004400</t>
        </is>
      </c>
      <c r="B126" s="223" t="inlineStr">
        <is>
          <t>PROBIÓTICOS + FIBRA 120 GOMAS</t>
        </is>
      </c>
      <c r="C126" s="223" t="inlineStr">
        <is>
          <t>Olnatura Just Probioticos 120 Gomitas 396g Sabor Fruta</t>
        </is>
      </c>
      <c r="D126" s="493" t="n">
        <v>289</v>
      </c>
      <c r="E126" s="493" t="n">
        <v>258.62</v>
      </c>
      <c r="F126" s="493">
        <f>D126*0.95</f>
        <v/>
      </c>
      <c r="G126" s="494">
        <f>F126/1.16</f>
        <v/>
      </c>
      <c r="H126" s="493" t="n"/>
    </row>
    <row r="127">
      <c r="A127" s="167" t="inlineStr">
        <is>
          <t>503635004400</t>
        </is>
      </c>
      <c r="B127" s="223" t="inlineStr">
        <is>
          <t>PROBIÓTICOS + FIBRA 120 GOMAS</t>
        </is>
      </c>
      <c r="C127" s="223" t="inlineStr">
        <is>
          <t>Olnatura Just Probioticos 120 Gomitas 396g Sabor Fruta Arándano</t>
        </is>
      </c>
      <c r="D127" s="493" t="n">
        <v>289</v>
      </c>
      <c r="E127" s="493" t="n">
        <v>258.62</v>
      </c>
      <c r="F127" s="493">
        <f>D127*0.95</f>
        <v/>
      </c>
      <c r="G127" s="494">
        <f>F127/1.16</f>
        <v/>
      </c>
      <c r="H127" s="493" t="n"/>
    </row>
    <row r="128">
      <c r="A128" s="167" t="inlineStr">
        <is>
          <t>503635004400</t>
        </is>
      </c>
      <c r="B128" s="223" t="inlineStr">
        <is>
          <t>PROBIÓTICOS + FIBRA 120 GOMAS</t>
        </is>
      </c>
      <c r="C128" s="223" t="inlineStr">
        <is>
          <t>Probióticos + Fibra Soluble Olnatura Just 120 Gomitas</t>
        </is>
      </c>
      <c r="D128" s="493" t="n">
        <v>289</v>
      </c>
      <c r="E128" s="493" t="n">
        <v>258.62</v>
      </c>
      <c r="F128" s="493">
        <f>D128*0.95</f>
        <v/>
      </c>
      <c r="G128" s="494">
        <f>F128/1.16</f>
        <v/>
      </c>
      <c r="H128" s="493" t="n"/>
    </row>
    <row r="129">
      <c r="A129" s="167" t="inlineStr">
        <is>
          <t>503635001301</t>
        </is>
      </c>
      <c r="B129" s="223" t="inlineStr">
        <is>
          <t>PROBIOTICOS GUMMYCARE 60 GOMAS</t>
        </is>
      </c>
      <c r="C129" s="223" t="inlineStr">
        <is>
          <t>Gummy Care Probioticos 60 Gomitas</t>
        </is>
      </c>
      <c r="D129" s="493" t="n">
        <v>375</v>
      </c>
      <c r="E129" s="493" t="n">
        <v>344.83</v>
      </c>
      <c r="F129" s="493">
        <f>D129*0.95</f>
        <v/>
      </c>
      <c r="G129" s="494">
        <f>F129/1.16</f>
        <v/>
      </c>
      <c r="H129" s="493" t="n"/>
    </row>
    <row r="130">
      <c r="A130" s="167" t="inlineStr">
        <is>
          <t>503635001301</t>
        </is>
      </c>
      <c r="B130" s="223" t="inlineStr">
        <is>
          <t>PROBIOTICOS GUMMYCARE 60 GOMAS</t>
        </is>
      </c>
      <c r="C130" s="223" t="inlineStr">
        <is>
          <t>Gummy Care Probioticos 60 Gomitas Mango</t>
        </is>
      </c>
      <c r="D130" s="493" t="n">
        <v>375</v>
      </c>
      <c r="E130" s="493" t="n">
        <v>344.83</v>
      </c>
      <c r="F130" s="493">
        <f>D130*0.95</f>
        <v/>
      </c>
      <c r="G130" s="494">
        <f>F130/1.16</f>
        <v/>
      </c>
      <c r="H130" s="493" t="n"/>
    </row>
    <row r="131">
      <c r="A131" s="167" t="inlineStr">
        <is>
          <t>503635001301</t>
        </is>
      </c>
      <c r="B131" s="223" t="inlineStr">
        <is>
          <t>PROBIOTICOS GUMMYCARE 60 GOMAS</t>
        </is>
      </c>
      <c r="C131" s="223" t="inlineStr">
        <is>
          <t>Olnatura Gummy Care Probioticos 60 Gomitas 264g Mango</t>
        </is>
      </c>
      <c r="D131" s="493" t="n">
        <v>375</v>
      </c>
      <c r="E131" s="493" t="n">
        <v>344.83</v>
      </c>
      <c r="F131" s="493">
        <f>D131*0.95</f>
        <v/>
      </c>
      <c r="G131" s="494">
        <f>F131/1.16</f>
        <v/>
      </c>
      <c r="H131" s="493" t="n"/>
    </row>
    <row r="132">
      <c r="A132" s="167" t="inlineStr">
        <is>
          <t>503635001301</t>
        </is>
      </c>
      <c r="B132" s="223" t="inlineStr">
        <is>
          <t>PROBIOTICOS GUMMYCARE 60 GOMAS</t>
        </is>
      </c>
      <c r="C132" s="223" t="inlineStr">
        <is>
          <t>Probióticos Premium Sin Azúcar Gummy Care 60 Gomitas</t>
        </is>
      </c>
      <c r="D132" s="493" t="n">
        <v>375</v>
      </c>
      <c r="E132" s="493" t="n">
        <v>344.83</v>
      </c>
      <c r="F132" s="493">
        <f>D132*0.95</f>
        <v/>
      </c>
      <c r="G132" s="494">
        <f>F132/1.16</f>
        <v/>
      </c>
      <c r="H132" s="493" t="n"/>
    </row>
    <row r="133">
      <c r="A133" s="167" t="inlineStr">
        <is>
          <t>503635001301</t>
        </is>
      </c>
      <c r="B133" s="223" t="inlineStr">
        <is>
          <t>PROBIOTICOS GUMMYCARE 60 GOMAS</t>
        </is>
      </c>
      <c r="C133" s="223" t="inlineStr">
        <is>
          <t>Probióticos Gomitas Olnatura Sabor Mango Sin Azúcar Vegano 60 Unidades</t>
        </is>
      </c>
      <c r="D133" s="493" t="n">
        <v>375</v>
      </c>
      <c r="E133" s="493" t="n">
        <v>344.83</v>
      </c>
      <c r="F133" s="493">
        <f>D133*0.95</f>
        <v/>
      </c>
      <c r="G133" s="494">
        <f>F133/1.16</f>
        <v/>
      </c>
      <c r="H133" s="493" t="n"/>
    </row>
    <row r="134">
      <c r="A134" s="167" t="inlineStr">
        <is>
          <t>503635001301</t>
        </is>
      </c>
      <c r="B134" s="223" t="inlineStr">
        <is>
          <t>PROBIOTICOS GUMMYCARE 60 GOMAS</t>
        </is>
      </c>
      <c r="C134" s="223" t="inlineStr">
        <is>
          <t>Probióticos Premium Sin Azúcar Gummy Care 60 Gomitas Sabor Mango</t>
        </is>
      </c>
      <c r="D134" s="493" t="n">
        <v>375</v>
      </c>
      <c r="E134" s="493" t="n">
        <v>344.83</v>
      </c>
      <c r="F134" s="493">
        <f>D134*0.95</f>
        <v/>
      </c>
      <c r="G134" s="494">
        <f>F134/1.16</f>
        <v/>
      </c>
      <c r="H134" s="493" t="n"/>
    </row>
    <row r="135">
      <c r="A135" s="167" t="inlineStr">
        <is>
          <t>503635001020</t>
        </is>
      </c>
      <c r="B135" s="223" t="inlineStr">
        <is>
          <t xml:space="preserve">ISOFLAVONAS 90 TAB </t>
        </is>
      </c>
      <c r="C135" s="223" t="inlineStr">
        <is>
          <t>Isoflavonas Olnatura Just 90 Tabletas</t>
        </is>
      </c>
      <c r="D135" s="493" t="n">
        <v>598</v>
      </c>
      <c r="E135" s="493" t="n">
        <v>515.51</v>
      </c>
      <c r="F135" s="493" t="n">
        <v>515.51</v>
      </c>
      <c r="G135" s="493" t="n">
        <v>515.51</v>
      </c>
      <c r="H135" s="493" t="n"/>
    </row>
    <row r="136">
      <c r="A136" s="333" t="n">
        <v>503635010000</v>
      </c>
      <c r="B136" s="223" t="inlineStr">
        <is>
          <t xml:space="preserve">ANTI V-R 30 CAPS JUST PACK </t>
        </is>
      </c>
      <c r="C136" s="223" t="inlineStr">
        <is>
          <t>Calostro Bovino Olnatura Just 3 Pack Refuerza Sistema Inmune Sin Sabor</t>
        </is>
      </c>
      <c r="D136" s="493" t="n">
        <v>450</v>
      </c>
      <c r="E136" s="493" t="n">
        <v>129.31</v>
      </c>
      <c r="F136" s="493" t="n">
        <v>450</v>
      </c>
      <c r="G136" s="493" t="n">
        <v>387.93</v>
      </c>
      <c r="H136" s="493" t="n">
        <v>129.31</v>
      </c>
    </row>
    <row r="137">
      <c r="A137" s="333" t="n">
        <v>503635010000</v>
      </c>
      <c r="B137" s="223" t="inlineStr">
        <is>
          <t xml:space="preserve">ANTI V-R 30 CAPS JUST PACK </t>
        </is>
      </c>
      <c r="C137" s="223" t="inlineStr">
        <is>
          <t>Calostro Bovino Olnatura Just 3 Caja Refuerza Sistema Inmune Sin Sabor</t>
        </is>
      </c>
      <c r="D137" s="493" t="n">
        <v>450</v>
      </c>
      <c r="E137" s="493" t="n">
        <v>129.31</v>
      </c>
      <c r="F137" s="493" t="n">
        <v>450</v>
      </c>
      <c r="G137" s="493" t="n">
        <v>387.93</v>
      </c>
      <c r="H137" s="493" t="n">
        <v>129.31</v>
      </c>
    </row>
    <row r="138">
      <c r="A138" s="333" t="n">
        <v>503635010000</v>
      </c>
      <c r="B138" s="223" t="inlineStr">
        <is>
          <t xml:space="preserve">ANTI V-R 30 CAPS JUST PACK </t>
        </is>
      </c>
      <c r="C138" s="223" t="inlineStr">
        <is>
          <t>Calostro Bovino Olnatura Just Pack 90 Cápsulas Sin Sabor Sistema Inmune</t>
        </is>
      </c>
      <c r="D138" s="493" t="n">
        <v>450</v>
      </c>
      <c r="E138" s="493" t="n">
        <v>129.31</v>
      </c>
      <c r="F138" s="493" t="n">
        <v>450</v>
      </c>
      <c r="G138" s="493" t="n">
        <v>387.93</v>
      </c>
      <c r="H138" s="493" t="n">
        <v>129.31</v>
      </c>
    </row>
    <row r="139">
      <c r="B139" s="223" t="n"/>
      <c r="C139" s="223" t="n"/>
      <c r="D139" s="493" t="n"/>
      <c r="E139" s="493" t="n"/>
      <c r="F139" s="493" t="n"/>
      <c r="G139" s="494" t="n"/>
    </row>
    <row r="140">
      <c r="B140" s="223" t="n">
        <v>503635004400</v>
      </c>
      <c r="C140" s="223" t="n"/>
      <c r="D140" s="493" t="n"/>
      <c r="E140" s="493" t="n"/>
      <c r="F140" s="493" t="n"/>
      <c r="G140" s="494" t="n"/>
    </row>
  </sheetData>
  <mergeCells count="2">
    <mergeCell ref="F2:G2"/>
    <mergeCell ref="A1:A2"/>
  </mergeCells>
  <pageMargins left="0.7" right="0.7" top="0.75" bottom="0.75" header="0.3" footer="0.3"/>
  <pageSetup orientation="portrait" verticalDpi="0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4"/>
  <sheetViews>
    <sheetView zoomScale="120" zoomScaleNormal="120" workbookViewId="0">
      <selection activeCell="D23" sqref="D23"/>
    </sheetView>
  </sheetViews>
  <sheetFormatPr baseColWidth="10" defaultColWidth="11.453125" defaultRowHeight="14"/>
  <cols>
    <col width="13" bestFit="1" customWidth="1" style="222" min="1" max="1"/>
    <col width="37.54296875" customWidth="1" style="222" min="2" max="2"/>
    <col width="75.26953125" bestFit="1" customWidth="1" style="222" min="3" max="3"/>
    <col width="14.26953125" customWidth="1" style="222" min="4" max="4"/>
    <col hidden="1" width="11.54296875" customWidth="1" style="222" min="5" max="5"/>
    <col width="11.453125" customWidth="1" style="222" min="6" max="16384"/>
  </cols>
  <sheetData>
    <row r="1" ht="15" customHeight="1">
      <c r="A1" s="385" t="inlineStr">
        <is>
          <t>PÁGINA JUST</t>
        </is>
      </c>
      <c r="B1" s="385" t="n"/>
    </row>
    <row r="2" ht="15.75" customHeight="1">
      <c r="A2" s="385" t="n"/>
      <c r="B2" s="385" t="n"/>
    </row>
    <row r="3">
      <c r="A3" s="220" t="inlineStr">
        <is>
          <t>CÓDIGO</t>
        </is>
      </c>
      <c r="B3" s="220" t="inlineStr">
        <is>
          <t>PRODUCTO</t>
        </is>
      </c>
      <c r="C3" s="220" t="inlineStr">
        <is>
          <t>TÍTULO PUBLICACIÓN</t>
        </is>
      </c>
      <c r="D3" s="183" t="inlineStr">
        <is>
          <t>Precio de facturación</t>
        </is>
      </c>
      <c r="E3" s="183" t="inlineStr">
        <is>
          <t>Precio de venta</t>
        </is>
      </c>
    </row>
    <row r="4" customFormat="1" s="368">
      <c r="A4" s="369" t="n">
        <v>503635000200</v>
      </c>
      <c r="B4" s="370" t="inlineStr">
        <is>
          <t>COLAGENO EN POLVO 210 GR</t>
        </is>
      </c>
      <c r="C4" s="370" t="inlineStr">
        <is>
          <t>JustCollagen Polvo 210 gr de Colágeno Hidrolizado + Prebióticos</t>
        </is>
      </c>
      <c r="D4" s="499" t="n">
        <v>344.83</v>
      </c>
      <c r="E4" s="500" t="n">
        <v>348.9976</v>
      </c>
    </row>
    <row r="5" hidden="1">
      <c r="A5" s="372" t="n">
        <v>503635000200</v>
      </c>
      <c r="B5" s="373" t="inlineStr">
        <is>
          <t>COLAGENO EN POLVO 210 GR</t>
        </is>
      </c>
      <c r="C5" s="373" t="inlineStr">
        <is>
          <t>JustCollagen Polvo 210 gr de Colágeno Hidrolizado + Prebióticos Just Collagen Polvo 210 Gramos</t>
        </is>
      </c>
      <c r="D5" s="477" t="n">
        <v>314.655</v>
      </c>
      <c r="E5" s="493" t="n"/>
    </row>
    <row r="6" hidden="1">
      <c r="A6" s="372" t="n">
        <v>503635000200</v>
      </c>
      <c r="B6" s="373" t="inlineStr">
        <is>
          <t>COLAGENO EN POLVO 210 GR</t>
        </is>
      </c>
      <c r="C6" s="373" t="inlineStr">
        <is>
          <t>Colágeno Hidrolizado en Polvo 210 gramos SIN AZÚCAR Just Collagen Polvo 210 Gramos</t>
        </is>
      </c>
      <c r="D6" s="477" t="n">
        <v>314.655</v>
      </c>
      <c r="E6" s="493" t="n"/>
    </row>
    <row r="7" hidden="1">
      <c r="A7" s="372" t="n">
        <v>503635000606</v>
      </c>
      <c r="B7" s="373" t="inlineStr">
        <is>
          <t>COLAGENO TIPO II 90 CAPS</t>
        </is>
      </c>
      <c r="C7" s="373" t="inlineStr">
        <is>
          <t>Colágeno Tipo II + Vitamina E y Manganeso 90 Cápsulas</t>
        </is>
      </c>
      <c r="D7" s="477" t="n">
        <v>861.21</v>
      </c>
      <c r="E7" s="493" t="n">
        <v>1058.9988</v>
      </c>
    </row>
    <row r="8" customFormat="1" s="368">
      <c r="A8" s="369" t="n">
        <v>503635000606</v>
      </c>
      <c r="B8" s="370" t="inlineStr">
        <is>
          <t>COLAGENO TIPO II 90 CAPS</t>
        </is>
      </c>
      <c r="C8" s="370" t="inlineStr">
        <is>
          <t>Colágeno Tipo II + Vitamina E y Manganeso 90 Cápsulas Colágeno Tipo II 90 Cápsulas</t>
        </is>
      </c>
      <c r="D8" s="499" t="n">
        <v>775.86</v>
      </c>
      <c r="E8" s="500" t="n"/>
    </row>
    <row r="9" hidden="1">
      <c r="A9" s="372" t="n">
        <v>503635000606</v>
      </c>
      <c r="B9" s="373" t="inlineStr">
        <is>
          <t>COLAGENO TIPO II 90 CAPS</t>
        </is>
      </c>
      <c r="C9" s="373" t="inlineStr">
        <is>
          <t>Colágeno Tipo 2 + Vitamina E y Manganeso 90 Cápsulas Colágeno Tipo II 90 Cápsulas</t>
        </is>
      </c>
      <c r="D9" s="477" t="n">
        <v>861.21</v>
      </c>
      <c r="E9" s="493" t="n"/>
    </row>
    <row r="10" hidden="1">
      <c r="A10" s="372" t="n">
        <v>503635009800</v>
      </c>
      <c r="B10" s="373" t="inlineStr">
        <is>
          <t>COLAGENO TIPO II 30 CAPS</t>
        </is>
      </c>
      <c r="C10" s="373" t="inlineStr">
        <is>
          <t>Colágeno Tipo II + Vitamina E y Manganeso 30 Cápsulas</t>
        </is>
      </c>
      <c r="D10" s="477" t="n">
        <v>327.585</v>
      </c>
      <c r="E10" s="493" t="n">
        <v>508.9964</v>
      </c>
    </row>
    <row r="11" hidden="1">
      <c r="A11" s="372" t="n">
        <v>503635000400</v>
      </c>
      <c r="B11" s="373" t="inlineStr">
        <is>
          <t>JUSTCOLLAGEN 30 TABS</t>
        </is>
      </c>
      <c r="C11" s="373" t="inlineStr">
        <is>
          <t>Colágeno Hidrolizado + Biotina - Nutrilínea 30 Tabletas 1800 mg Just Collagen 30 Tabletas</t>
        </is>
      </c>
      <c r="D11" s="477" t="n">
        <v>85.345</v>
      </c>
      <c r="E11" s="493" t="n"/>
    </row>
    <row r="12" hidden="1">
      <c r="A12" s="372" t="n"/>
      <c r="B12" s="373" t="inlineStr">
        <is>
          <t>GLUCOSAMINA / CONDROITINA TIBURON 160 TA</t>
        </is>
      </c>
      <c r="C12" s="373" t="inlineStr">
        <is>
          <t>Glucosamina Condroitina de tiburón + Boro y Manganeso 160 Tabletas</t>
        </is>
      </c>
      <c r="D12" s="477" t="n">
        <v>0</v>
      </c>
      <c r="E12" s="493" t="n">
        <v>498.9972</v>
      </c>
    </row>
    <row r="13" customFormat="1" s="368">
      <c r="A13" s="369" t="n">
        <v>503635000100</v>
      </c>
      <c r="B13" s="370" t="inlineStr">
        <is>
          <t>GLUCOSAMINA / CONDROITINA TIBURON 240 TA</t>
        </is>
      </c>
      <c r="C13" s="370" t="inlineStr">
        <is>
          <t>Glucosamina Condroitina de tiburón + Boro y Manganeso 240 Tabletas</t>
        </is>
      </c>
      <c r="D13" s="499" t="n">
        <v>491.38</v>
      </c>
      <c r="E13" s="500" t="n">
        <v>594.9987999999998</v>
      </c>
    </row>
    <row r="14" customFormat="1" s="368">
      <c r="A14" s="369" t="n">
        <v>503635000300</v>
      </c>
      <c r="B14" s="370" t="inlineStr">
        <is>
          <t>GLUCOSAMINA / CONDROITINA BOVINO 410 TAB</t>
        </is>
      </c>
      <c r="C14" s="370" t="inlineStr">
        <is>
          <t>Glucosamina Condroitina + Boro y Manganeso 410 Tabletas</t>
        </is>
      </c>
      <c r="D14" s="499" t="n">
        <v>758.62</v>
      </c>
      <c r="E14" s="500" t="n">
        <v>940</v>
      </c>
    </row>
    <row r="15" hidden="1" ht="15" customHeight="1">
      <c r="A15" s="372" t="n">
        <v>503635000300</v>
      </c>
      <c r="B15" s="373" t="inlineStr">
        <is>
          <t>GLUCOSAMINA / CONDROITINA BOVINO 410 TAB</t>
        </is>
      </c>
      <c r="C15" s="373" t="inlineStr">
        <is>
          <t>Glucosamina Condroitina + Boro y Manganeso 410 Tabletas Glucosamina 410 Tabs</t>
        </is>
      </c>
      <c r="D15" s="477" t="n">
        <v>792.24</v>
      </c>
      <c r="E15" s="493" t="n"/>
    </row>
    <row r="16" hidden="1">
      <c r="A16" s="372" t="n">
        <v>503635001600</v>
      </c>
      <c r="B16" s="373" t="inlineStr">
        <is>
          <t>JUSTBIOH 110 GOMAS</t>
        </is>
      </c>
      <c r="C16" s="373" t="inlineStr">
        <is>
          <t>JustBio H 110 Gomitas de Biotina + Arándano</t>
        </is>
      </c>
      <c r="D16" s="477" t="n">
        <v>331.9</v>
      </c>
      <c r="E16" s="493" t="n">
        <v>440.9972</v>
      </c>
    </row>
    <row r="17" hidden="1">
      <c r="A17" s="372" t="n">
        <v>503635002000</v>
      </c>
      <c r="B17" s="373" t="inlineStr">
        <is>
          <t>JUSTBIOTICS 110 GOMAS</t>
        </is>
      </c>
      <c r="C17" s="373" t="inlineStr">
        <is>
          <t>JustBiotics 110 Gomitas de Probióticos con 100 millones de Lactobacilos</t>
        </is>
      </c>
      <c r="D17" s="477" t="n">
        <v>331.9</v>
      </c>
      <c r="E17" s="493" t="n">
        <v>406.9976</v>
      </c>
    </row>
    <row r="18" hidden="1">
      <c r="A18" s="372" t="n">
        <v>503635002000</v>
      </c>
      <c r="B18" s="373" t="inlineStr">
        <is>
          <t>JUSTBIOTICS 110 GOMAS</t>
        </is>
      </c>
      <c r="C18" s="373" t="inlineStr">
        <is>
          <t>110 Gomitas de Probióticos con 110 millones de Lactobacilos Just Biotics Gomitas 110 Gomitas</t>
        </is>
      </c>
      <c r="D18" s="477" t="n">
        <v>331.9</v>
      </c>
      <c r="E18" s="493" t="n"/>
    </row>
    <row r="19" hidden="1">
      <c r="A19" s="372" t="n">
        <v>503635002000</v>
      </c>
      <c r="B19" s="373" t="inlineStr">
        <is>
          <t>JUSTBIOTICS 110 GOMAS</t>
        </is>
      </c>
      <c r="C19" s="373" t="inlineStr">
        <is>
          <t>JustBiotics 110 Gomitas de Probióticos con 100 millones de Lactobacilos Just Biotics Gomitas 110 Gomitas</t>
        </is>
      </c>
      <c r="D19" s="477" t="n">
        <v>331.9</v>
      </c>
      <c r="E19" s="493" t="n"/>
    </row>
    <row r="20" hidden="1">
      <c r="A20" s="372" t="n">
        <v>503635003700</v>
      </c>
      <c r="B20" s="373" t="inlineStr">
        <is>
          <t>JUSTCETRUX 60</t>
        </is>
      </c>
      <c r="C20" s="373" t="inlineStr">
        <is>
          <t>JustCetrux 60 Tabletas de Vitamina C + Vitamina A y Zinc</t>
        </is>
      </c>
      <c r="D20" s="477" t="n">
        <v>94.83</v>
      </c>
      <c r="E20" s="493" t="n">
        <v>88.9952</v>
      </c>
    </row>
    <row r="21" hidden="1">
      <c r="A21" s="372" t="n">
        <v>503635003900</v>
      </c>
      <c r="B21" s="373" t="inlineStr">
        <is>
          <t>JUSTCETRUX 180</t>
        </is>
      </c>
      <c r="C21" s="373" t="inlineStr">
        <is>
          <t>JustCetrux 180 Tabletas de Vitamina C + Vitamina A y Zinc Justcetrux 180 Tabletas</t>
        </is>
      </c>
      <c r="D21" s="477" t="n">
        <v>163.79</v>
      </c>
      <c r="E21" s="493" t="n"/>
    </row>
    <row r="22" hidden="1">
      <c r="A22" s="372" t="n">
        <v>503635003900</v>
      </c>
      <c r="B22" s="373" t="inlineStr">
        <is>
          <t>JUSTCETRUX 180</t>
        </is>
      </c>
      <c r="C22" s="373" t="inlineStr">
        <is>
          <t>Vitamina C Just Cetrux + Vitamina A y Zinc 180 Tabletas Justcetrux 180 Tabletas</t>
        </is>
      </c>
      <c r="D22" s="477" t="n">
        <v>163.79</v>
      </c>
      <c r="E22" s="493" t="n"/>
    </row>
    <row r="23" customFormat="1" s="368">
      <c r="A23" s="369" t="n">
        <v>503635001700</v>
      </c>
      <c r="B23" s="370" t="inlineStr">
        <is>
          <t>JUSTCOLLAGEN 111 GOMAS</t>
        </is>
      </c>
      <c r="C23" s="370" t="inlineStr">
        <is>
          <t>JustCollagen 111 Gomitas de Colágeno Hidrolizado 1800 mg</t>
        </is>
      </c>
      <c r="D23" s="499" t="n">
        <v>362.07</v>
      </c>
      <c r="E23" s="500" t="n">
        <v>389</v>
      </c>
    </row>
    <row r="24" customFormat="1" s="368">
      <c r="A24" s="369" t="n">
        <v>503635002600</v>
      </c>
      <c r="B24" s="370" t="inlineStr">
        <is>
          <t>JUSTCOLLAGEN 180 TABS</t>
        </is>
      </c>
      <c r="C24" s="370" t="inlineStr">
        <is>
          <t>JustCollagen 180 Tabletas de Colágeno Hidrolizado 1800 mg + Biotina Just Collagen 180 Tabletas</t>
        </is>
      </c>
      <c r="D24" s="499" t="n">
        <v>297.41</v>
      </c>
      <c r="E24" s="500" t="n">
        <v>395.0031999999999</v>
      </c>
    </row>
    <row r="25" customFormat="1" s="368">
      <c r="A25" s="369" t="n">
        <v>503635000501</v>
      </c>
      <c r="B25" s="370" t="inlineStr">
        <is>
          <t>JUSTCOLLAGEN 90 TABS</t>
        </is>
      </c>
      <c r="C25" s="370" t="inlineStr">
        <is>
          <t>JustCollagen 90 Tabletas de Colágeno Hidrolizado 1800 mg + Biotina</t>
        </is>
      </c>
      <c r="D25" s="499" t="n">
        <v>241.38</v>
      </c>
      <c r="E25" s="500" t="n">
        <v>220</v>
      </c>
    </row>
    <row r="26" hidden="1">
      <c r="A26" s="372" t="n">
        <v>503635000501</v>
      </c>
      <c r="B26" s="373" t="inlineStr">
        <is>
          <t>JUSTCOLLAGEN 90 TABS</t>
        </is>
      </c>
      <c r="C26" s="373" t="inlineStr">
        <is>
          <t>JustCollagen 90 Tabletas de Colágeno Hidrolizado 1800 mg + Biotina Just Collagen 90 Tabletas</t>
        </is>
      </c>
      <c r="D26" s="477" t="n">
        <v>211.21</v>
      </c>
      <c r="E26" s="493" t="n"/>
    </row>
    <row r="27" customFormat="1" s="368">
      <c r="A27" s="369" t="n">
        <v>503635000705</v>
      </c>
      <c r="B27" s="370" t="inlineStr">
        <is>
          <t>JUSTFX 120 CAPS</t>
        </is>
      </c>
      <c r="C27" s="370" t="inlineStr">
        <is>
          <t>JustFx 120 Cápsulas de Glucosamina Condroitina + Colágeno y Zinc</t>
        </is>
      </c>
      <c r="D27" s="499" t="n">
        <v>431.03</v>
      </c>
      <c r="E27" s="500" t="n">
        <v>505</v>
      </c>
    </row>
    <row r="28" hidden="1">
      <c r="A28" s="372" t="n">
        <v>503635000705</v>
      </c>
      <c r="B28" s="373" t="inlineStr">
        <is>
          <t>JUSTFX 120 CAPS</t>
        </is>
      </c>
      <c r="C28" s="373" t="inlineStr">
        <is>
          <t>JustFx 120 Cápsulas de Glucosamina Condroitina + Colágeno y Zinc Just Fx 120 Cápsulas</t>
        </is>
      </c>
      <c r="D28" s="477" t="n">
        <v>405.17</v>
      </c>
      <c r="E28" s="493" t="n"/>
    </row>
    <row r="29" hidden="1">
      <c r="A29" s="372" t="n">
        <v>503635000900</v>
      </c>
      <c r="B29" s="373" t="inlineStr">
        <is>
          <t>JUSTFX 90 CAPS</t>
        </is>
      </c>
      <c r="C29" s="373" t="inlineStr">
        <is>
          <t>JustFx 90 Cápsulas de Glucosamina Condroitina + Colágeno y Zinc</t>
        </is>
      </c>
      <c r="D29" s="477" t="n">
        <v>338.79</v>
      </c>
      <c r="E29" s="493" t="n">
        <v>368.996</v>
      </c>
    </row>
    <row r="30" customFormat="1" s="368">
      <c r="A30" s="369" t="n">
        <v>503635000900</v>
      </c>
      <c r="B30" s="370" t="inlineStr">
        <is>
          <t>JUSTFX 90 CAPS</t>
        </is>
      </c>
      <c r="C30" s="370" t="inlineStr">
        <is>
          <t>Glucosamina Condroitina JustFx + Colágeno y Zinc 90 Cápsulas Just Fx 90 Cápsulas</t>
        </is>
      </c>
      <c r="D30" s="499" t="n">
        <v>370.69</v>
      </c>
      <c r="E30" s="500" t="n"/>
    </row>
    <row r="31" hidden="1">
      <c r="A31" s="372" t="n">
        <v>503635000900</v>
      </c>
      <c r="B31" s="373" t="inlineStr">
        <is>
          <t>JUSTFX 90 CAPS</t>
        </is>
      </c>
      <c r="C31" s="373" t="inlineStr">
        <is>
          <t>JustFx 90 Cápsulas de Glucosamina Condroitina + Colágeno y Zinc Just Fx 90 Cápsulas</t>
        </is>
      </c>
      <c r="D31" s="477" t="n">
        <v>338.79</v>
      </c>
      <c r="E31" s="493" t="n"/>
    </row>
    <row r="32" hidden="1">
      <c r="A32" s="372" t="n">
        <v>503635004200</v>
      </c>
      <c r="B32" s="373" t="inlineStr">
        <is>
          <t>JUSTCALOSTRO  30 CAPS</t>
        </is>
      </c>
      <c r="C32" s="373" t="inlineStr">
        <is>
          <t>JustCalostro 30 Cápsulas de Calostro Bovino + Zinc y Vitamina A</t>
        </is>
      </c>
      <c r="D32" s="477" t="n">
        <v>0</v>
      </c>
      <c r="E32" s="493" t="n">
        <v>167</v>
      </c>
    </row>
    <row r="33" hidden="1">
      <c r="A33" s="372" t="n">
        <v>503635004200</v>
      </c>
      <c r="B33" s="373" t="inlineStr">
        <is>
          <t>JUSTCALOSTRO  30 CAPS</t>
        </is>
      </c>
      <c r="C33" s="373" t="inlineStr">
        <is>
          <t>JustCalostro 30 Cápsulas de Calostro Bovino + Zinc y
Vitamina A</t>
        </is>
      </c>
      <c r="D33" s="477" t="n">
        <v>0</v>
      </c>
      <c r="E33" s="493" t="n"/>
    </row>
    <row r="34" hidden="1">
      <c r="A34" s="372" t="n">
        <v>503635001800</v>
      </c>
      <c r="B34" s="373" t="inlineStr">
        <is>
          <t>JUSTOMEGA-3 110 GOMAS</t>
        </is>
      </c>
      <c r="C34" s="373" t="inlineStr">
        <is>
          <t>JustOmega 3 110 Gomitas de Omega 3 con ácidos grasos EPA y DHA</t>
        </is>
      </c>
      <c r="D34" s="477" t="n">
        <v>331.9</v>
      </c>
      <c r="E34" s="493" t="n">
        <v>390.0035999999999</v>
      </c>
    </row>
    <row r="35" hidden="1">
      <c r="A35" s="372" t="n">
        <v>503635001800</v>
      </c>
      <c r="B35" s="373" t="inlineStr">
        <is>
          <t>JUSTOMEGA-3 110 GOMAS</t>
        </is>
      </c>
      <c r="C35" s="373" t="inlineStr">
        <is>
          <t>JustOmega 3 110 Gomitas de Omega 3 con ácidos grasos EPA y DHA Just Omega 3 Gomitas 110 Gomitas</t>
        </is>
      </c>
      <c r="D35" s="477" t="n">
        <v>331.9</v>
      </c>
      <c r="E35" s="493" t="n"/>
    </row>
    <row r="36" customFormat="1" s="368">
      <c r="A36" s="369" t="n">
        <v>503635005400</v>
      </c>
      <c r="B36" s="370" t="inlineStr">
        <is>
          <t>JUSTOLFOCUS 90 CAPS</t>
        </is>
      </c>
      <c r="C36" s="370" t="inlineStr">
        <is>
          <t>JustOlfocus 90 Cápsulas de Glutamina + 7 vitaminas</t>
        </is>
      </c>
      <c r="D36" s="499" t="n">
        <v>344.83</v>
      </c>
      <c r="E36" s="500" t="n"/>
    </row>
    <row r="37" hidden="1">
      <c r="A37" s="372" t="n">
        <v>503635005400</v>
      </c>
      <c r="B37" s="373" t="inlineStr">
        <is>
          <t>JUSTOLFOCUS 90 CAPS</t>
        </is>
      </c>
      <c r="C37" s="373" t="inlineStr">
        <is>
          <t>Glutamina JustOlfocus 90 Cápsulas</t>
        </is>
      </c>
      <c r="D37" s="499" t="n">
        <v>344.83</v>
      </c>
      <c r="E37" s="493" t="n"/>
    </row>
    <row r="38" customFormat="1" s="368">
      <c r="A38" s="369" t="n">
        <v>503635001301</v>
      </c>
      <c r="B38" s="370" t="inlineStr">
        <is>
          <t>PROBIOTICOS GUMMYCARE 60 GOMAS</t>
        </is>
      </c>
      <c r="C38" s="370" t="inlineStr">
        <is>
          <t>Gummy Care 60 Gomitas de Probióticos SIN AZÚCAR</t>
        </is>
      </c>
      <c r="D38" s="499" t="n">
        <v>344.83</v>
      </c>
      <c r="E38" s="500" t="n">
        <v>348.9976</v>
      </c>
    </row>
    <row r="39" hidden="1">
      <c r="A39" s="372" t="n">
        <v>503635001301</v>
      </c>
      <c r="B39" s="373" t="inlineStr">
        <is>
          <t>PROBIOTICOS GUMMYCARE 60 GOMAS</t>
        </is>
      </c>
      <c r="C39" s="373" t="inlineStr">
        <is>
          <t>Gummy Care 60 Gomitas de Probióticos SIN AZÚCAR Gummy Care Probióticos 60 gomitas</t>
        </is>
      </c>
      <c r="D39" s="499" t="n">
        <v>344.83</v>
      </c>
      <c r="E39" s="493" t="n"/>
    </row>
    <row r="40" hidden="1">
      <c r="A40" s="372" t="n">
        <v>503635004500</v>
      </c>
      <c r="B40" s="373" t="inlineStr">
        <is>
          <t>COLÁGENO+BIOTINA 120 GOMAS</t>
        </is>
      </c>
      <c r="C40" s="373" t="inlineStr">
        <is>
          <t>Colágeno Hidrolizado + Biotina 120 gomitas</t>
        </is>
      </c>
      <c r="D40" s="499" t="n">
        <v>344.83</v>
      </c>
      <c r="E40" s="493" t="n">
        <v>266.9972</v>
      </c>
    </row>
    <row r="41" hidden="1">
      <c r="A41" s="372" t="n">
        <v>503635004500</v>
      </c>
      <c r="B41" s="373" t="inlineStr">
        <is>
          <t>COLÁGENO+BIOTINA 120 GOMAS</t>
        </is>
      </c>
      <c r="C41" s="373" t="inlineStr">
        <is>
          <t>120 Gomitas Colágeno Hidrolizado + Biotina</t>
        </is>
      </c>
      <c r="D41" s="499" t="n">
        <v>344.83</v>
      </c>
      <c r="E41" s="493" t="n"/>
    </row>
    <row r="42" customFormat="1" s="368">
      <c r="A42" s="369" t="n">
        <v>503635004500</v>
      </c>
      <c r="B42" s="370" t="inlineStr">
        <is>
          <t>COLÁGENO+BIOTINA 120 GOMAS</t>
        </is>
      </c>
      <c r="C42" s="370" t="inlineStr">
        <is>
          <t>¡NUEVO! Colágeno Hidrolizado + Biotina 120 gomitas</t>
        </is>
      </c>
      <c r="D42" s="499" t="n">
        <v>258.62</v>
      </c>
      <c r="E42" s="500" t="n"/>
    </row>
    <row r="43" customFormat="1" s="368">
      <c r="A43" s="369" t="n">
        <v>503635004400</v>
      </c>
      <c r="B43" s="370" t="inlineStr">
        <is>
          <t>PROBIÓTICOS + FIBRA 120 GOMAS</t>
        </is>
      </c>
      <c r="C43" s="370" t="inlineStr">
        <is>
          <t>Probióticos + Fibra 120 Gomitas con 100 millones de Lactobacilos esporulados OUTLET</t>
        </is>
      </c>
      <c r="D43" s="499" t="n">
        <v>258.62</v>
      </c>
      <c r="E43" s="500" t="n">
        <v>266.9972</v>
      </c>
    </row>
    <row r="44" hidden="1">
      <c r="A44" s="372" t="n">
        <v>503635004400</v>
      </c>
      <c r="B44" s="373" t="inlineStr">
        <is>
          <t>PROBIÓTICOS + FIBRA 120 GOMAS</t>
        </is>
      </c>
      <c r="C44" s="373" t="inlineStr">
        <is>
          <t>¡NUEVO! Probióticos + Fibra Soluble 120 Gomitas</t>
        </is>
      </c>
      <c r="D44" s="477" t="n">
        <v>237.07</v>
      </c>
      <c r="E44" s="493" t="n"/>
    </row>
    <row r="45" customFormat="1" s="368">
      <c r="A45" s="369" t="n">
        <v>503635004300</v>
      </c>
      <c r="B45" s="370" t="inlineStr">
        <is>
          <t>OMEGA 3 120 GOMAS</t>
        </is>
      </c>
      <c r="C45" s="370" t="inlineStr">
        <is>
          <t>Omega 3 ácidos grasos EPA y DHA 120 Gomitas OUTLET</t>
        </is>
      </c>
      <c r="D45" s="499" t="n">
        <v>267.24</v>
      </c>
      <c r="E45" s="500" t="n">
        <v>266.9972</v>
      </c>
    </row>
    <row r="46" hidden="1">
      <c r="A46" s="372" t="n">
        <v>503635004300</v>
      </c>
      <c r="B46" s="373" t="inlineStr">
        <is>
          <t>OMEGA 3 120 GOMAS</t>
        </is>
      </c>
      <c r="C46" s="373" t="n"/>
      <c r="D46" s="477" t="n">
        <v>237.07</v>
      </c>
      <c r="E46" s="493" t="n"/>
    </row>
    <row r="47" customFormat="1" s="368">
      <c r="A47" s="369" t="n">
        <v>503635004600</v>
      </c>
      <c r="B47" s="370" t="inlineStr">
        <is>
          <t>BIOTINA 120 GOMAS</t>
        </is>
      </c>
      <c r="C47" s="370" t="inlineStr">
        <is>
          <t>Biotina + Arándano 120 gomitas OUTLET</t>
        </is>
      </c>
      <c r="D47" s="499" t="n">
        <v>258.62</v>
      </c>
      <c r="E47" s="500" t="n">
        <v>266.9972</v>
      </c>
    </row>
    <row r="48" hidden="1">
      <c r="A48" s="372" t="n">
        <v>1</v>
      </c>
      <c r="B48" s="373" t="inlineStr">
        <is>
          <t>PACK JUSTFX 120</t>
        </is>
      </c>
      <c r="C48" s="373" t="inlineStr">
        <is>
          <t>Pack 2 JustFx 120 Cápsulas de Glucosamina Condroitina + Colágeno y Zinc</t>
        </is>
      </c>
      <c r="D48" s="477" t="n">
        <v>435.3448275862069</v>
      </c>
      <c r="E48" s="493" t="n"/>
    </row>
    <row r="49" customFormat="1" s="368">
      <c r="A49" s="369" t="inlineStr">
        <is>
          <t>503635695900</t>
        </is>
      </c>
      <c r="B49" s="370" t="inlineStr">
        <is>
          <t>JUSTFIBRA 30 TABS</t>
        </is>
      </c>
      <c r="C49" s="370" t="inlineStr">
        <is>
          <t>JUSTFIBRA 30 TABS</t>
        </is>
      </c>
      <c r="D49" s="501" t="n">
        <v>112.07</v>
      </c>
      <c r="E49" s="500" t="n"/>
    </row>
    <row r="50" hidden="1">
      <c r="A50" s="372" t="inlineStr">
        <is>
          <t>503635696000</t>
        </is>
      </c>
      <c r="B50" s="373" t="inlineStr">
        <is>
          <t>JUSTFIBRA 120 TABS</t>
        </is>
      </c>
      <c r="C50" s="373" t="inlineStr">
        <is>
          <t>Just Fibra 120 Tabletas De Fos + Guayaba, Piña Y Hierbabuena.</t>
        </is>
      </c>
      <c r="D50" s="477" t="n">
        <v>341.38</v>
      </c>
      <c r="E50" s="493" t="n"/>
    </row>
    <row r="51" hidden="1">
      <c r="A51" s="372" t="inlineStr">
        <is>
          <t>503635696000</t>
        </is>
      </c>
      <c r="B51" s="373" t="inlineStr">
        <is>
          <t>JUSTFIBRA 120 TABS</t>
        </is>
      </c>
      <c r="C51" s="373" t="inlineStr">
        <is>
          <t>Tabletas Guayaba, Piña e Hierbabuena Just Fibra de 120</t>
        </is>
      </c>
      <c r="D51" s="477" t="n">
        <v>341.38</v>
      </c>
      <c r="E51" s="493" t="n"/>
    </row>
    <row r="52" hidden="1">
      <c r="A52" s="372" t="inlineStr">
        <is>
          <t>503635696000</t>
        </is>
      </c>
      <c r="B52" s="373" t="inlineStr">
        <is>
          <t>JUSTFIBRA 120 TABS</t>
        </is>
      </c>
      <c r="C52" s="373" t="inlineStr">
        <is>
          <t>Just Fibra 120 Tabletas De Fos + Guayaba, Piña Y Hierbabuena</t>
        </is>
      </c>
      <c r="D52" s="477" t="n">
        <v>341.38</v>
      </c>
      <c r="E52" s="493" t="n"/>
    </row>
    <row r="53" customFormat="1" s="368">
      <c r="A53" s="369" t="n">
        <v>503635005100</v>
      </c>
      <c r="B53" s="375" t="inlineStr">
        <is>
          <t>COLAGENO TIPO II 30 CAPS</t>
        </is>
      </c>
      <c r="C53" s="375" t="inlineStr">
        <is>
          <t>COLAGENO TIPO II 30 CAPS</t>
        </is>
      </c>
      <c r="D53" s="501" t="n">
        <v>405.17</v>
      </c>
      <c r="E53" s="500" t="n"/>
    </row>
    <row r="54" customFormat="1" s="368">
      <c r="A54" s="369" t="n">
        <v>503635001020</v>
      </c>
      <c r="B54" s="375" t="inlineStr">
        <is>
          <t>JUST ISOFLAVONAS</t>
        </is>
      </c>
      <c r="C54" s="375" t="inlineStr">
        <is>
          <t>JUST ISOFLAVONAS</t>
        </is>
      </c>
      <c r="D54" s="499" t="n">
        <v>515.52</v>
      </c>
      <c r="E54" s="50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3:J34"/>
  <sheetViews>
    <sheetView showGridLines="0" topLeftCell="A12" workbookViewId="0">
      <selection activeCell="F20" sqref="F20"/>
    </sheetView>
  </sheetViews>
  <sheetFormatPr baseColWidth="10" defaultColWidth="11.453125" defaultRowHeight="14.5"/>
  <cols>
    <col width="11" customWidth="1" min="1" max="1"/>
    <col width="6" bestFit="1" customWidth="1" min="2" max="2"/>
    <col width="37.453125" bestFit="1" customWidth="1" min="3" max="3"/>
    <col width="10.54296875" bestFit="1" customWidth="1" min="4" max="4"/>
    <col width="11.453125" customWidth="1" min="5" max="5"/>
    <col width="8.1796875" customWidth="1" min="6" max="6"/>
    <col width="6" bestFit="1" customWidth="1" min="7" max="7"/>
    <col width="37.81640625" bestFit="1" customWidth="1" min="8" max="8"/>
  </cols>
  <sheetData>
    <row r="3" ht="15" customHeight="1" thickBot="1">
      <c r="B3" s="387" t="inlineStr">
        <is>
          <t>PRODUCTO USO EXTERNO</t>
        </is>
      </c>
      <c r="C3" s="199" t="n"/>
      <c r="D3" s="99" t="n"/>
      <c r="E3" s="99" t="n"/>
      <c r="F3" s="99" t="n"/>
      <c r="G3" s="387" t="inlineStr">
        <is>
          <t>PRODUCTO USO INTERNO</t>
        </is>
      </c>
      <c r="H3" s="199" t="n"/>
    </row>
    <row r="4" ht="15" customHeight="1" thickBot="1">
      <c r="B4" s="249" t="inlineStr">
        <is>
          <t>Piezas</t>
        </is>
      </c>
      <c r="C4" s="247" t="inlineStr">
        <is>
          <t>Producto</t>
        </is>
      </c>
      <c r="D4" s="248" t="inlineStr">
        <is>
          <t>Precio Fact.</t>
        </is>
      </c>
      <c r="E4" s="247" t="inlineStr">
        <is>
          <t>Total</t>
        </is>
      </c>
      <c r="G4" s="249" t="inlineStr">
        <is>
          <t>Piezas</t>
        </is>
      </c>
      <c r="H4" s="247" t="inlineStr">
        <is>
          <t>Producto</t>
        </is>
      </c>
      <c r="I4" s="248" t="inlineStr">
        <is>
          <t>Precio Fact.</t>
        </is>
      </c>
      <c r="J4" s="247" t="inlineStr">
        <is>
          <t>Total</t>
        </is>
      </c>
    </row>
    <row r="5" ht="15" customHeight="1" thickBot="1">
      <c r="B5" s="245" t="n">
        <v>1</v>
      </c>
      <c r="C5" s="244" t="inlineStr">
        <is>
          <t>JUSTCOLLAGEN POLVO</t>
        </is>
      </c>
      <c r="D5" s="502" t="n">
        <v>216.53</v>
      </c>
      <c r="E5" s="502">
        <f>D5*B5</f>
        <v/>
      </c>
      <c r="G5" s="245" t="n">
        <v>1</v>
      </c>
      <c r="H5" s="244" t="inlineStr">
        <is>
          <t>JUSTCOLLAGEN POLVO (C.Caducidad)</t>
        </is>
      </c>
      <c r="I5" s="502" t="n">
        <v>73.99039999999999</v>
      </c>
      <c r="J5" s="502">
        <f>I5*G5</f>
        <v/>
      </c>
    </row>
    <row r="6" ht="15" customHeight="1" thickBot="1">
      <c r="B6" s="245" t="n">
        <v>1</v>
      </c>
      <c r="C6" s="244" t="inlineStr">
        <is>
          <t>JUSTCOLLAGEN 90</t>
        </is>
      </c>
      <c r="D6" s="502" t="n">
        <v>152.5</v>
      </c>
      <c r="E6" s="502">
        <f>D6*B6</f>
        <v/>
      </c>
      <c r="G6" s="245" t="n">
        <v>1</v>
      </c>
      <c r="H6" s="244" t="inlineStr">
        <is>
          <t>OMEGA 3 120 GOMAS  (C.Caducidad)</t>
        </is>
      </c>
      <c r="I6" s="502" t="n">
        <v>60.8609</v>
      </c>
      <c r="J6" s="502">
        <f>I6*G6</f>
        <v/>
      </c>
    </row>
    <row r="7" ht="15" customHeight="1" thickBot="1">
      <c r="B7" s="245" t="n">
        <v>1</v>
      </c>
      <c r="C7" s="244" t="inlineStr">
        <is>
          <t>JUSTCOLLAGEN 111 GOMAS</t>
        </is>
      </c>
      <c r="D7" s="502" t="n">
        <v>260</v>
      </c>
      <c r="E7" s="502">
        <f>D7*B7</f>
        <v/>
      </c>
      <c r="G7" s="245" t="n">
        <v>1</v>
      </c>
      <c r="H7" s="244" t="inlineStr">
        <is>
          <t>BIOTINA 120 GOMAS  (C.Caducidad)</t>
        </is>
      </c>
      <c r="I7" s="502" t="n">
        <v>66.2985</v>
      </c>
      <c r="J7" s="502">
        <f>I7*G7</f>
        <v/>
      </c>
    </row>
    <row r="8" ht="15" customHeight="1" thickBot="1">
      <c r="B8" s="245" t="n">
        <v>1</v>
      </c>
      <c r="C8" s="244" t="inlineStr">
        <is>
          <t>COLÁGENO + BIOTINA 120 GOMAS</t>
        </is>
      </c>
      <c r="D8" s="502" t="n">
        <v>167</v>
      </c>
      <c r="E8" s="502">
        <f>D8*B8</f>
        <v/>
      </c>
      <c r="G8" s="245" t="n">
        <v>1</v>
      </c>
      <c r="H8" s="244" t="inlineStr">
        <is>
          <t>PROBIÓTICOS 120 GOMAS  (C.Caducidad)</t>
        </is>
      </c>
      <c r="I8" s="502" t="n">
        <v>68.05329999999999</v>
      </c>
      <c r="J8" s="502">
        <f>I8*G8</f>
        <v/>
      </c>
    </row>
    <row r="9" ht="15" customHeight="1" thickBot="1">
      <c r="B9" s="245" t="n">
        <v>1</v>
      </c>
      <c r="C9" s="244" t="inlineStr">
        <is>
          <t>PROBIÓTICOS 110 GOMAS</t>
        </is>
      </c>
      <c r="D9" s="502" t="n">
        <v>271</v>
      </c>
      <c r="E9" s="502">
        <f>D9*B9</f>
        <v/>
      </c>
      <c r="G9" s="245" t="n">
        <v>1</v>
      </c>
      <c r="H9" s="244" t="inlineStr">
        <is>
          <t>JUSTCETRUX 60 TABS  (C.Caducidad)</t>
        </is>
      </c>
      <c r="I9" s="502" t="n">
        <v>23.0997</v>
      </c>
      <c r="J9" s="502">
        <f>I9*G9</f>
        <v/>
      </c>
    </row>
    <row r="10" ht="15" customHeight="1" thickBot="1">
      <c r="B10" s="245" t="n">
        <v>1</v>
      </c>
      <c r="C10" s="244" t="inlineStr">
        <is>
          <t>BIOTINA 110 GOMAS</t>
        </is>
      </c>
      <c r="D10" s="502" t="n">
        <v>295.6</v>
      </c>
      <c r="E10" s="502">
        <f>D10*B10</f>
        <v/>
      </c>
      <c r="G10" s="245" t="n">
        <v>1</v>
      </c>
      <c r="H10" s="244" t="inlineStr">
        <is>
          <t>JUSTCOLLAGEN 111 GOMAS</t>
        </is>
      </c>
      <c r="I10" s="502" t="n">
        <v>88.2762</v>
      </c>
      <c r="J10" s="502">
        <f>I10*G10</f>
        <v/>
      </c>
    </row>
    <row r="11" ht="15" customHeight="1" thickBot="1">
      <c r="B11" s="245" t="n">
        <v>1</v>
      </c>
      <c r="C11" s="244" t="inlineStr">
        <is>
          <t>BIOTINA 120 GOMAS</t>
        </is>
      </c>
      <c r="D11" s="502" t="n">
        <v>167</v>
      </c>
      <c r="E11" s="502">
        <f>D11*B11</f>
        <v/>
      </c>
    </row>
    <row r="12" ht="15" customHeight="1" thickBot="1">
      <c r="B12" s="245" t="n">
        <v>1</v>
      </c>
      <c r="C12" s="244" t="inlineStr">
        <is>
          <t>PROBIÓTICOS 120 GOMAS</t>
        </is>
      </c>
      <c r="D12" s="502" t="n">
        <v>167</v>
      </c>
      <c r="E12" s="502">
        <f>D12*B12</f>
        <v/>
      </c>
    </row>
    <row r="13" ht="15" customHeight="1" thickBot="1">
      <c r="B13" s="245" t="n">
        <v>1</v>
      </c>
      <c r="C13" s="244" t="inlineStr">
        <is>
          <t>GLUCOSAMINA 160</t>
        </is>
      </c>
      <c r="D13" s="502" t="n">
        <v>334.18</v>
      </c>
      <c r="E13" s="502">
        <f>D13*B13</f>
        <v/>
      </c>
    </row>
    <row r="14" ht="15" customHeight="1" thickBot="1">
      <c r="B14" s="245" t="n">
        <v>1</v>
      </c>
      <c r="C14" s="244" t="inlineStr">
        <is>
          <t>OMEGA 120 GOMAS</t>
        </is>
      </c>
      <c r="D14" s="502" t="n">
        <v>167</v>
      </c>
      <c r="E14" s="502">
        <f>D14*B14</f>
        <v/>
      </c>
    </row>
    <row r="15" ht="15" customHeight="1" thickBot="1">
      <c r="B15" s="245" t="n">
        <v>1</v>
      </c>
      <c r="C15" s="244" t="inlineStr">
        <is>
          <t>JUSTCOLLAGEN 180 TABLETAS</t>
        </is>
      </c>
      <c r="D15" s="502" t="n">
        <v>263.9154</v>
      </c>
      <c r="E15" s="502">
        <f>D15*B15</f>
        <v/>
      </c>
    </row>
    <row r="16" ht="15" customHeight="1" thickBot="1">
      <c r="B16" s="245" t="n">
        <v>1</v>
      </c>
      <c r="C16" s="244" t="inlineStr">
        <is>
          <t>JUSTFX 120 CÁPSULAS</t>
        </is>
      </c>
      <c r="D16" s="502" t="n">
        <v>338.2455</v>
      </c>
      <c r="E16" s="502">
        <f>D16*B16</f>
        <v/>
      </c>
    </row>
    <row r="17" ht="15" customHeight="1" thickBot="1">
      <c r="B17" s="245" t="n">
        <v>1</v>
      </c>
      <c r="C17" s="244" t="inlineStr">
        <is>
          <t>OMEGA 3 110 GOMAS</t>
        </is>
      </c>
      <c r="D17" s="502" t="n">
        <v>260</v>
      </c>
      <c r="E17" s="502">
        <f>D17*B17</f>
        <v/>
      </c>
    </row>
    <row r="18" ht="15" customHeight="1" thickBot="1">
      <c r="B18" s="245" t="n">
        <v>1</v>
      </c>
      <c r="C18" s="244" t="inlineStr">
        <is>
          <t>GLUCOSAMINA 410 TABLETAS</t>
        </is>
      </c>
      <c r="D18" s="502" t="n">
        <v>629.63635</v>
      </c>
      <c r="E18" s="502">
        <f>D18*B18</f>
        <v/>
      </c>
    </row>
    <row r="19" ht="15" customHeight="1" thickBot="1">
      <c r="B19" s="245" t="n">
        <v>1</v>
      </c>
      <c r="C19" s="244" t="inlineStr">
        <is>
          <t>GUMMYCARE 60 GOMAS</t>
        </is>
      </c>
      <c r="D19" s="502" t="n">
        <v>215</v>
      </c>
      <c r="E19" s="502">
        <f>D19*B19</f>
        <v/>
      </c>
    </row>
    <row r="20" ht="15" customHeight="1" thickBot="1">
      <c r="B20" s="245" t="n">
        <v>1</v>
      </c>
      <c r="C20" s="244" t="inlineStr">
        <is>
          <t>OMEGA 3 120 GOMAS  (C.Caducidad ENE-24)</t>
        </is>
      </c>
      <c r="D20" s="502" t="n">
        <v>119.1724137931035</v>
      </c>
      <c r="E20" s="502">
        <f>D20*B20</f>
        <v/>
      </c>
    </row>
    <row r="21" ht="15" customHeight="1" thickBot="1">
      <c r="B21" s="245" t="n">
        <v>1</v>
      </c>
      <c r="C21" s="244" t="inlineStr">
        <is>
          <t>JUSTCOLLAGEN 90</t>
        </is>
      </c>
      <c r="D21" s="502" t="n">
        <v>152.5</v>
      </c>
      <c r="E21" s="502">
        <f>D21*B21</f>
        <v/>
      </c>
    </row>
    <row r="22" ht="15" customHeight="1" thickBot="1">
      <c r="B22" s="245" t="n">
        <v>1</v>
      </c>
      <c r="C22" s="244" t="inlineStr">
        <is>
          <t>JUSTFX 90 CÁPSULAS</t>
        </is>
      </c>
      <c r="D22" s="502" t="n">
        <v>231</v>
      </c>
      <c r="E22" s="502">
        <f>D22*B22</f>
        <v/>
      </c>
    </row>
    <row r="23" ht="15" customHeight="1" thickBot="1">
      <c r="B23" s="245" t="n">
        <v>1</v>
      </c>
      <c r="C23" s="244" t="inlineStr">
        <is>
          <t>OMEGA 3 120 GOMAS  (C.Caducidad)</t>
        </is>
      </c>
      <c r="D23" s="502" t="n">
        <v>119.1724137931035</v>
      </c>
      <c r="E23" s="502">
        <f>D23*B23</f>
        <v/>
      </c>
    </row>
    <row r="24" ht="15" customHeight="1" thickBot="1">
      <c r="B24" s="245" t="n">
        <v>1</v>
      </c>
      <c r="C24" s="244" t="inlineStr">
        <is>
          <t>PROBIÓTICOS 120 GOMAS  (C.Caducidad)</t>
        </is>
      </c>
      <c r="D24" s="502" t="n">
        <v>119.1724137931035</v>
      </c>
      <c r="E24" s="502">
        <f>D24*B24</f>
        <v/>
      </c>
    </row>
    <row r="25" ht="15" customHeight="1" thickBot="1">
      <c r="B25" s="245" t="n">
        <v>1</v>
      </c>
      <c r="C25" s="244" t="inlineStr">
        <is>
          <t>JUSTCETRUX 60 TABS  (C.Caducidad)</t>
        </is>
      </c>
      <c r="D25" s="502" t="n">
        <v>56</v>
      </c>
      <c r="E25" s="502">
        <f>D25*B25</f>
        <v/>
      </c>
    </row>
    <row r="27" ht="15" customHeight="1" thickBot="1"/>
    <row r="28" ht="21.5" customHeight="1" thickBot="1">
      <c r="B28" s="249" t="inlineStr">
        <is>
          <t>Piezas</t>
        </is>
      </c>
      <c r="C28" s="247" t="inlineStr">
        <is>
          <t>Producto</t>
        </is>
      </c>
      <c r="D28" s="248" t="inlineStr">
        <is>
          <t>Precio Fact.</t>
        </is>
      </c>
      <c r="E28" s="247" t="inlineStr">
        <is>
          <t>Total</t>
        </is>
      </c>
      <c r="F28" s="246" t="n"/>
    </row>
    <row r="29" ht="15" customHeight="1" thickBot="1">
      <c r="B29" s="245" t="n">
        <v>1</v>
      </c>
      <c r="C29" s="244" t="inlineStr">
        <is>
          <t>JUSTCOLLAGEN 180 TABLETAS</t>
        </is>
      </c>
      <c r="D29" s="502" t="n">
        <v>263.9154</v>
      </c>
      <c r="E29" s="502">
        <f>D29*B29</f>
        <v/>
      </c>
    </row>
    <row r="30" ht="15" customHeight="1" thickBot="1">
      <c r="B30" s="245" t="n">
        <v>1</v>
      </c>
      <c r="C30" s="244" t="inlineStr">
        <is>
          <t>JUSTFX 120 CÁPSULAS</t>
        </is>
      </c>
      <c r="D30" s="502" t="n">
        <v>338.2455</v>
      </c>
      <c r="E30" s="502">
        <f>D30*B30</f>
        <v/>
      </c>
    </row>
    <row r="31" ht="15" customHeight="1" thickBot="1">
      <c r="B31" s="245" t="n">
        <v>1</v>
      </c>
      <c r="C31" s="244" t="inlineStr">
        <is>
          <t>GLUCOSAMINA 240 TABS</t>
        </is>
      </c>
      <c r="D31" s="502" t="n">
        <v>379.75</v>
      </c>
      <c r="E31" s="502">
        <f>D31*B31</f>
        <v/>
      </c>
    </row>
    <row r="32" ht="15" customHeight="1" thickBot="1">
      <c r="B32" s="245" t="n">
        <v>1</v>
      </c>
      <c r="C32" s="244" t="inlineStr">
        <is>
          <t>PROBIÓTICOS 120 GOMAS</t>
        </is>
      </c>
      <c r="D32" s="502" t="n">
        <v>119.1724137931035</v>
      </c>
      <c r="E32" s="502">
        <f>D32*B32</f>
        <v/>
      </c>
    </row>
    <row r="33" ht="15" customHeight="1" thickBot="1">
      <c r="B33" s="245" t="n">
        <v>1</v>
      </c>
      <c r="C33" s="244" t="inlineStr">
        <is>
          <t>JUSTCETRUX 180 TABS</t>
        </is>
      </c>
      <c r="D33" s="502" t="n">
        <v>133</v>
      </c>
      <c r="E33" s="502">
        <f>D33*B33</f>
        <v/>
      </c>
    </row>
    <row r="34">
      <c r="B34" s="242">
        <f>SUM(B29:B33)</f>
        <v/>
      </c>
      <c r="E34" s="503">
        <f>SUM(E29:E33)</f>
        <v/>
      </c>
    </row>
  </sheetData>
  <mergeCells count="2">
    <mergeCell ref="B3:C3"/>
    <mergeCell ref="G3:H3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0"/>
  <sheetViews>
    <sheetView zoomScale="145" zoomScaleNormal="145" workbookViewId="0">
      <selection activeCell="G42" sqref="G42:G44"/>
    </sheetView>
  </sheetViews>
  <sheetFormatPr baseColWidth="10" defaultColWidth="11.453125" defaultRowHeight="10.5"/>
  <cols>
    <col width="15.7265625" customWidth="1" style="274" min="1" max="1"/>
    <col width="11.26953125" bestFit="1" customWidth="1" style="274" min="2" max="2"/>
    <col width="17.81640625" bestFit="1" customWidth="1" style="274" min="3" max="3"/>
    <col hidden="1" width="14.1796875" customWidth="1" style="274" min="4" max="4"/>
    <col width="8" customWidth="1" style="274" min="5" max="5"/>
    <col hidden="1" width="11.26953125" customWidth="1" style="274" min="6" max="6"/>
    <col width="8.7265625" bestFit="1" customWidth="1" style="274" min="7" max="7"/>
    <col width="0.81640625" customWidth="1" style="274" min="8" max="8"/>
    <col width="8.1796875" customWidth="1" style="274" min="9" max="9"/>
    <col hidden="1" width="14.54296875" customWidth="1" style="274" min="10" max="10"/>
    <col hidden="1" width="11" customWidth="1" style="274" min="11" max="11"/>
    <col width="11.453125" customWidth="1" style="274" min="12" max="16384"/>
  </cols>
  <sheetData>
    <row r="1">
      <c r="A1" s="397" t="inlineStr">
        <is>
          <t>KITS SITIO WEB</t>
        </is>
      </c>
      <c r="D1" s="273" t="n"/>
      <c r="E1" s="273" t="n"/>
      <c r="F1" s="273" t="n"/>
      <c r="G1" s="273" t="n"/>
      <c r="H1" s="273" t="n"/>
      <c r="I1" s="273" t="n"/>
    </row>
    <row r="2" ht="11" customHeight="1" thickBot="1">
      <c r="A2" s="199" t="n"/>
      <c r="B2" s="199" t="n"/>
      <c r="C2" s="199" t="n"/>
      <c r="J2" s="504" t="n"/>
      <c r="K2" s="504" t="n"/>
    </row>
    <row r="3" ht="32" customHeight="1" thickBot="1">
      <c r="A3" s="276" t="inlineStr">
        <is>
          <t>SISTEMA</t>
        </is>
      </c>
      <c r="B3" s="276" t="inlineStr">
        <is>
          <t>CÓDIGOS</t>
        </is>
      </c>
      <c r="C3" s="277" t="inlineStr">
        <is>
          <t>PRODUCTOS</t>
        </is>
      </c>
      <c r="D3" s="278" t="inlineStr">
        <is>
          <t>Precio unitario normal</t>
        </is>
      </c>
      <c r="E3" s="279" t="inlineStr">
        <is>
          <t>Precio facturación normal</t>
        </is>
      </c>
      <c r="F3" s="277" t="inlineStr">
        <is>
          <t>Total</t>
        </is>
      </c>
      <c r="G3" s="280" t="inlineStr">
        <is>
          <t>Venta -%</t>
        </is>
      </c>
      <c r="H3" s="281" t="n"/>
      <c r="I3" s="282" t="inlineStr">
        <is>
          <t>Descuento</t>
        </is>
      </c>
      <c r="J3" s="283" t="inlineStr">
        <is>
          <t>Precio facturación (-%)</t>
        </is>
      </c>
      <c r="K3" s="284" t="inlineStr">
        <is>
          <t>Facturación Total</t>
        </is>
      </c>
    </row>
    <row r="4" ht="11" customHeight="1" thickBot="1">
      <c r="A4" s="505" t="inlineStr">
        <is>
          <t>PACK COLÁGENO BIOTINA</t>
        </is>
      </c>
      <c r="B4" s="236" t="n">
        <v>503635001700</v>
      </c>
      <c r="C4" s="285" t="inlineStr">
        <is>
          <t>JustCollagen 111</t>
        </is>
      </c>
      <c r="D4" s="506" t="n">
        <v>385.004</v>
      </c>
      <c r="E4" s="507" t="n">
        <v>331.9</v>
      </c>
      <c r="F4" s="508" t="n">
        <v>770.0079999999999</v>
      </c>
      <c r="G4" s="509" t="n">
        <v>693.0071999999999</v>
      </c>
      <c r="H4" s="510" t="n"/>
      <c r="I4" s="290" t="n">
        <v>0.1</v>
      </c>
      <c r="J4" s="511" t="n">
        <v>298.71</v>
      </c>
      <c r="K4" s="512" t="n">
        <v>597.42</v>
      </c>
      <c r="L4" s="510" t="n"/>
    </row>
    <row r="5" ht="11" customHeight="1" thickBot="1">
      <c r="A5" s="513" t="n"/>
      <c r="B5" s="292" t="n">
        <v>503635004600</v>
      </c>
      <c r="C5" s="293" t="inlineStr">
        <is>
          <t>Biotina 110 gomas</t>
        </is>
      </c>
      <c r="D5" s="514" t="n">
        <v>385.004</v>
      </c>
      <c r="E5" s="515" t="n">
        <v>331.9</v>
      </c>
      <c r="F5" s="516" t="n"/>
      <c r="G5" s="517" t="n"/>
      <c r="H5" s="510" t="n"/>
      <c r="I5" s="290" t="n">
        <v>0.1</v>
      </c>
      <c r="J5" s="511" t="n">
        <v>298.71</v>
      </c>
      <c r="K5" s="518" t="n"/>
      <c r="L5" s="510" t="n"/>
    </row>
    <row r="6" ht="11" customHeight="1" thickBot="1">
      <c r="A6" s="414" t="inlineStr">
        <is>
          <t>KIT COLÁGENO TIPO II</t>
        </is>
      </c>
      <c r="B6" s="238" t="n">
        <v>503635000606</v>
      </c>
      <c r="C6" s="297" t="inlineStr">
        <is>
          <t>Colágeno Tipo II</t>
        </is>
      </c>
      <c r="D6" s="506" t="n">
        <v>999.0036</v>
      </c>
      <c r="E6" s="519" t="n">
        <v>861.21</v>
      </c>
      <c r="F6" s="520" t="n">
        <v>1998.0072</v>
      </c>
      <c r="G6" s="521" t="n">
        <v>1798.20648</v>
      </c>
      <c r="H6" s="510" t="n"/>
      <c r="I6" s="290" t="n">
        <v>0.1</v>
      </c>
      <c r="J6" s="511" t="n">
        <v>775.0890000000001</v>
      </c>
      <c r="K6" s="522" t="n">
        <v>1550.178</v>
      </c>
      <c r="L6" s="510" t="n"/>
    </row>
    <row r="7" ht="11" customHeight="1" thickBot="1">
      <c r="A7" s="523" t="n"/>
      <c r="B7" s="237" t="n">
        <v>503635000606</v>
      </c>
      <c r="C7" s="300" t="inlineStr">
        <is>
          <t>Colágeno Tipo II</t>
        </is>
      </c>
      <c r="D7" s="514" t="n">
        <v>999.0036</v>
      </c>
      <c r="E7" s="515" t="n">
        <v>861.21</v>
      </c>
      <c r="F7" s="524" t="n"/>
      <c r="G7" s="524" t="n"/>
      <c r="H7" s="510" t="n"/>
      <c r="I7" s="290" t="n">
        <v>0.1</v>
      </c>
      <c r="J7" s="511" t="n">
        <v>775.0890000000001</v>
      </c>
      <c r="K7" s="525" t="n"/>
      <c r="L7" s="510" t="n"/>
    </row>
    <row r="8" ht="11" customHeight="1" thickBot="1">
      <c r="A8" s="417" t="inlineStr">
        <is>
          <t>KIT GLUCOSAMINA 240</t>
        </is>
      </c>
      <c r="B8" s="236" t="n">
        <v>503635000100</v>
      </c>
      <c r="C8" s="301" t="inlineStr">
        <is>
          <t>Glucosamina 240</t>
        </is>
      </c>
      <c r="D8" s="506" t="n">
        <v>569.0032</v>
      </c>
      <c r="E8" s="519" t="n">
        <v>490.52</v>
      </c>
      <c r="F8" s="508" t="n">
        <v>1138.0064</v>
      </c>
      <c r="G8" s="526" t="n">
        <v>1081.10608</v>
      </c>
      <c r="H8" s="510" t="n"/>
      <c r="I8" s="290" t="n">
        <v>0.1</v>
      </c>
      <c r="J8" s="511" t="n">
        <v>441.4680000000001</v>
      </c>
      <c r="K8" s="512" t="n">
        <v>882.9360000000001</v>
      </c>
      <c r="L8" s="510" t="n"/>
    </row>
    <row r="9" ht="11" customHeight="1" thickBot="1">
      <c r="A9" s="523" t="n"/>
      <c r="B9" s="235" t="n">
        <v>503635000100</v>
      </c>
      <c r="C9" s="302" t="inlineStr">
        <is>
          <t>Glucosamina 240</t>
        </is>
      </c>
      <c r="D9" s="514" t="n">
        <v>569.0032</v>
      </c>
      <c r="E9" s="515" t="n">
        <v>490.52</v>
      </c>
      <c r="F9" s="516" t="n"/>
      <c r="G9" s="516" t="n"/>
      <c r="H9" s="510" t="n"/>
      <c r="I9" s="290" t="n">
        <v>0.1</v>
      </c>
      <c r="J9" s="511" t="n">
        <v>441.4680000000001</v>
      </c>
      <c r="K9" s="518" t="n"/>
      <c r="L9" s="510" t="n"/>
    </row>
    <row r="10" ht="11" customHeight="1" thickBot="1">
      <c r="A10" s="388" t="inlineStr">
        <is>
          <t>KIT JUSTBIO H 110 GOMAS</t>
        </is>
      </c>
      <c r="B10" s="303" t="n">
        <v>503635001600</v>
      </c>
      <c r="C10" s="304" t="inlineStr">
        <is>
          <t>JustBio H 110</t>
        </is>
      </c>
      <c r="D10" s="527" t="n">
        <v>385.004</v>
      </c>
      <c r="E10" s="527" t="n">
        <v>331.9</v>
      </c>
      <c r="F10" s="508" t="n">
        <v>770.0079999999999</v>
      </c>
      <c r="G10" s="528" t="n">
        <v>731.5075999999999</v>
      </c>
      <c r="H10" s="510" t="n"/>
      <c r="I10" s="306" t="n">
        <v>0.1</v>
      </c>
      <c r="J10" s="511" t="n">
        <v>298.71</v>
      </c>
      <c r="K10" s="529" t="n">
        <v>597.42</v>
      </c>
      <c r="L10" s="510" t="n"/>
    </row>
    <row r="11" ht="11" customHeight="1" thickBot="1">
      <c r="A11" s="523" t="n"/>
      <c r="B11" s="307" t="n">
        <v>503635001600</v>
      </c>
      <c r="C11" s="308" t="inlineStr">
        <is>
          <t>JustBio H 110</t>
        </is>
      </c>
      <c r="D11" s="530" t="n">
        <v>385.004</v>
      </c>
      <c r="E11" s="530" t="n">
        <v>331.9</v>
      </c>
      <c r="F11" s="516" t="n"/>
      <c r="G11" s="516" t="n"/>
      <c r="H11" s="510" t="n"/>
      <c r="I11" s="306" t="n">
        <v>0.1</v>
      </c>
      <c r="J11" s="511" t="n">
        <v>298.71</v>
      </c>
      <c r="K11" s="518" t="n"/>
      <c r="L11" s="510" t="n"/>
    </row>
    <row r="12" ht="11" customHeight="1" thickBot="1">
      <c r="A12" s="414" t="inlineStr">
        <is>
          <t>KIT JUSTCOLLAGEN 111 GOMAS</t>
        </is>
      </c>
      <c r="B12" s="238" t="n">
        <v>503635001700</v>
      </c>
      <c r="C12" s="297" t="inlineStr">
        <is>
          <t>JustCollagen 111 gomitas</t>
        </is>
      </c>
      <c r="D12" s="506" t="n">
        <v>385.004</v>
      </c>
      <c r="E12" s="519" t="n">
        <v>331.9</v>
      </c>
      <c r="F12" s="508" t="n">
        <v>770.0079999999999</v>
      </c>
      <c r="G12" s="528" t="n">
        <v>731.5075999999999</v>
      </c>
      <c r="H12" s="510" t="n"/>
      <c r="I12" s="290" t="n">
        <v>0.1</v>
      </c>
      <c r="J12" s="511" t="n">
        <v>298.71</v>
      </c>
      <c r="K12" s="529" t="n">
        <v>597.42</v>
      </c>
      <c r="L12" s="510" t="n"/>
    </row>
    <row r="13" ht="11" customHeight="1" thickBot="1">
      <c r="A13" s="523" t="n"/>
      <c r="B13" s="235" t="n">
        <v>503635001700</v>
      </c>
      <c r="C13" s="302" t="inlineStr">
        <is>
          <t>JustCollagen 111 gomitas</t>
        </is>
      </c>
      <c r="D13" s="514" t="n">
        <v>385.004</v>
      </c>
      <c r="E13" s="515" t="n">
        <v>331.9</v>
      </c>
      <c r="F13" s="516" t="n"/>
      <c r="G13" s="516" t="n"/>
      <c r="H13" s="510" t="n"/>
      <c r="I13" s="290" t="n">
        <v>0.1</v>
      </c>
      <c r="J13" s="511" t="n">
        <v>298.71</v>
      </c>
      <c r="K13" s="518" t="n"/>
      <c r="L13" s="510" t="n"/>
    </row>
    <row r="14" ht="11" customHeight="1" thickBot="1">
      <c r="A14" s="414" t="inlineStr">
        <is>
          <t>KIT JUSTCOLLAGEN 180</t>
        </is>
      </c>
      <c r="B14" s="240" t="n">
        <v>503635002600</v>
      </c>
      <c r="C14" s="297" t="inlineStr">
        <is>
          <t>JustCollagen 180 tabs</t>
        </is>
      </c>
      <c r="D14" s="506" t="n">
        <v>366.0031999999999</v>
      </c>
      <c r="E14" s="519" t="n">
        <v>315.52</v>
      </c>
      <c r="F14" s="520" t="n">
        <v>732.0063999999999</v>
      </c>
      <c r="G14" s="521" t="n">
        <v>695.4060799999999</v>
      </c>
      <c r="H14" s="510" t="n"/>
      <c r="I14" s="290" t="n">
        <v>0.1</v>
      </c>
      <c r="J14" s="511" t="n">
        <v>283.968</v>
      </c>
      <c r="K14" s="529" t="n">
        <v>567.9359999999999</v>
      </c>
      <c r="L14" s="510" t="n"/>
    </row>
    <row r="15" ht="11" customHeight="1" thickBot="1">
      <c r="A15" s="523" t="n"/>
      <c r="B15" s="310" t="n">
        <v>503635002600</v>
      </c>
      <c r="C15" s="300" t="inlineStr">
        <is>
          <t>JustCollagen 180 tabs</t>
        </is>
      </c>
      <c r="D15" s="514" t="n">
        <v>366.0031999999999</v>
      </c>
      <c r="E15" s="519" t="n">
        <v>315.52</v>
      </c>
      <c r="F15" s="524" t="n"/>
      <c r="G15" s="524" t="n"/>
      <c r="H15" s="510" t="n"/>
      <c r="I15" s="290" t="n">
        <v>0.1</v>
      </c>
      <c r="J15" s="511" t="n">
        <v>283.968</v>
      </c>
      <c r="K15" s="518" t="n"/>
      <c r="L15" s="510" t="n"/>
    </row>
    <row r="16" ht="11" customHeight="1" thickBot="1">
      <c r="A16" s="419" t="inlineStr">
        <is>
          <t>KIT JUSTFX 120</t>
        </is>
      </c>
      <c r="B16" s="311" t="n">
        <v>503635000705</v>
      </c>
      <c r="C16" s="312" t="inlineStr">
        <is>
          <t>JustFx 120</t>
        </is>
      </c>
      <c r="D16" s="527" t="n">
        <v>469.9972</v>
      </c>
      <c r="E16" s="531" t="n">
        <v>405.17</v>
      </c>
      <c r="F16" s="508" t="n">
        <v>939.9943999999999</v>
      </c>
      <c r="G16" s="509" t="n">
        <v>892.9946799999999</v>
      </c>
      <c r="H16" s="510" t="n"/>
      <c r="I16" s="306" t="n">
        <v>0.1</v>
      </c>
      <c r="J16" s="511" t="n">
        <v>364.653</v>
      </c>
      <c r="K16" s="529" t="n">
        <v>729.306</v>
      </c>
      <c r="L16" s="510" t="n"/>
    </row>
    <row r="17" ht="11" customHeight="1" thickBot="1">
      <c r="A17" s="523" t="n"/>
      <c r="B17" s="307" t="n">
        <v>503635000705</v>
      </c>
      <c r="C17" s="308" t="inlineStr">
        <is>
          <t>JustFx 120</t>
        </is>
      </c>
      <c r="D17" s="530" t="n">
        <v>469.9972</v>
      </c>
      <c r="E17" s="530" t="n">
        <v>405.17</v>
      </c>
      <c r="F17" s="516" t="n"/>
      <c r="G17" s="517" t="n"/>
      <c r="H17" s="510" t="n"/>
      <c r="I17" s="306" t="n">
        <v>0.1</v>
      </c>
      <c r="J17" s="511" t="n">
        <v>364.653</v>
      </c>
      <c r="K17" s="518" t="n"/>
      <c r="L17" s="510" t="n"/>
    </row>
    <row r="18" ht="11" customHeight="1" thickBot="1">
      <c r="A18" s="414" t="inlineStr">
        <is>
          <t>KIT JUSTOMEGA 110 GOMAS</t>
        </is>
      </c>
      <c r="B18" s="238" t="n">
        <v>503635001800</v>
      </c>
      <c r="C18" s="297" t="inlineStr">
        <is>
          <t>JustOmega 3 110</t>
        </is>
      </c>
      <c r="D18" s="506" t="n">
        <v>385.004</v>
      </c>
      <c r="E18" s="519" t="n">
        <v>331.9</v>
      </c>
      <c r="F18" s="520" t="n">
        <v>770.0079999999999</v>
      </c>
      <c r="G18" s="521" t="n">
        <v>731.5075999999999</v>
      </c>
      <c r="H18" s="510" t="n"/>
      <c r="I18" s="290" t="n">
        <v>0.1</v>
      </c>
      <c r="J18" s="511" t="n">
        <v>298.71</v>
      </c>
      <c r="K18" s="529" t="n">
        <v>597.42</v>
      </c>
      <c r="L18" s="510" t="n"/>
    </row>
    <row r="19" ht="11" customHeight="1" thickBot="1">
      <c r="A19" s="523" t="n"/>
      <c r="B19" s="237" t="n">
        <v>503635001800</v>
      </c>
      <c r="C19" s="300" t="inlineStr">
        <is>
          <t>JustOmega 3 110</t>
        </is>
      </c>
      <c r="D19" s="514" t="n">
        <v>385.004</v>
      </c>
      <c r="E19" s="519" t="n">
        <v>331.9</v>
      </c>
      <c r="F19" s="524" t="n"/>
      <c r="G19" s="524" t="n"/>
      <c r="H19" s="510" t="n"/>
      <c r="I19" s="290" t="n">
        <v>0.1</v>
      </c>
      <c r="J19" s="511" t="n">
        <v>298.71</v>
      </c>
      <c r="K19" s="518" t="n"/>
      <c r="L19" s="510" t="n"/>
    </row>
    <row r="20" ht="11" customHeight="1" thickBot="1">
      <c r="A20" s="505" t="inlineStr">
        <is>
          <t>KIT SISTEMA BELLEZA</t>
        </is>
      </c>
      <c r="B20" s="239" t="n">
        <v>503635000200</v>
      </c>
      <c r="C20" s="301" t="inlineStr">
        <is>
          <t>JustCollagen polvo 210 gr</t>
        </is>
      </c>
      <c r="D20" s="520" t="n">
        <v>364.9997999999999</v>
      </c>
      <c r="E20" s="507" t="n">
        <v>314.655</v>
      </c>
      <c r="F20" s="508" t="n">
        <v>1116.007</v>
      </c>
      <c r="G20" s="509" t="n">
        <v>1004.4063</v>
      </c>
      <c r="H20" s="510" t="n"/>
      <c r="I20" s="290" t="n">
        <v>0.1</v>
      </c>
      <c r="J20" s="511" t="n">
        <v>283.1895</v>
      </c>
      <c r="K20" s="512" t="n">
        <v>865.8674999999998</v>
      </c>
      <c r="L20" s="510" t="n"/>
    </row>
    <row r="21" ht="11" customHeight="1" thickBot="1">
      <c r="A21" s="532" t="n"/>
      <c r="B21" s="240" t="n">
        <v>503635002600</v>
      </c>
      <c r="C21" s="314" t="inlineStr">
        <is>
          <t>JustCollagen 180 tabs</t>
        </is>
      </c>
      <c r="D21" s="506" t="n">
        <v>366.0031999999999</v>
      </c>
      <c r="E21" s="519" t="n">
        <v>315.52</v>
      </c>
      <c r="F21" s="524" t="n"/>
      <c r="G21" s="533" t="n"/>
      <c r="H21" s="510" t="n"/>
      <c r="I21" s="290" t="n">
        <v>0.1</v>
      </c>
      <c r="J21" s="511" t="n">
        <v>283.968</v>
      </c>
      <c r="K21" s="525" t="n"/>
      <c r="L21" s="510" t="n"/>
    </row>
    <row r="22" ht="11" customHeight="1" thickBot="1">
      <c r="A22" s="513" t="n"/>
      <c r="B22" s="233" t="n">
        <v>503635001700</v>
      </c>
      <c r="C22" s="302" t="inlineStr">
        <is>
          <t>JustCollagen 111 gomitas</t>
        </is>
      </c>
      <c r="D22" s="514" t="n">
        <v>385.004</v>
      </c>
      <c r="E22" s="515" t="n">
        <v>331.9</v>
      </c>
      <c r="F22" s="516" t="n"/>
      <c r="G22" s="517" t="n"/>
      <c r="H22" s="510" t="n"/>
      <c r="I22" s="290" t="n">
        <v>0.1</v>
      </c>
      <c r="J22" s="511" t="n">
        <v>298.71</v>
      </c>
      <c r="K22" s="518" t="n"/>
      <c r="L22" s="510" t="n"/>
    </row>
    <row r="23" ht="11" customHeight="1" thickBot="1">
      <c r="A23" s="505" t="inlineStr">
        <is>
          <t>KIT SISTEMA BEST SELLER</t>
        </is>
      </c>
      <c r="B23" s="239" t="n">
        <v>503635002600</v>
      </c>
      <c r="C23" s="301" t="inlineStr">
        <is>
          <t>JustCollagen 180 tabs</t>
        </is>
      </c>
      <c r="D23" s="506" t="n">
        <v>366.0031999999999</v>
      </c>
      <c r="E23" s="507" t="n">
        <v>315.52</v>
      </c>
      <c r="F23" s="508" t="n">
        <v>836.0003999999999</v>
      </c>
      <c r="G23" s="509" t="n">
        <v>752.40036</v>
      </c>
      <c r="H23" s="510" t="n"/>
      <c r="I23" s="290" t="n">
        <v>0.1</v>
      </c>
      <c r="J23" s="511" t="n">
        <v>283.968</v>
      </c>
      <c r="K23" s="529" t="n">
        <v>648.621</v>
      </c>
      <c r="L23" s="510" t="n"/>
    </row>
    <row r="24" ht="11" customHeight="1" thickBot="1">
      <c r="A24" s="513" t="n"/>
      <c r="B24" s="233" t="n">
        <v>503635000705</v>
      </c>
      <c r="C24" s="302" t="inlineStr">
        <is>
          <t>JustFx 120</t>
        </is>
      </c>
      <c r="D24" s="514" t="n">
        <v>469.9972</v>
      </c>
      <c r="E24" s="515" t="n">
        <v>405.17</v>
      </c>
      <c r="F24" s="516" t="n"/>
      <c r="G24" s="517" t="n"/>
      <c r="H24" s="510" t="n"/>
      <c r="I24" s="290" t="n">
        <v>0.1</v>
      </c>
      <c r="J24" s="534" t="n">
        <v>364.653</v>
      </c>
      <c r="K24" s="518" t="n"/>
      <c r="L24" s="510" t="n"/>
    </row>
    <row r="25">
      <c r="A25" s="316" t="n"/>
      <c r="B25" s="317" t="n"/>
      <c r="D25" s="504" t="n"/>
      <c r="E25" s="535" t="n"/>
      <c r="F25" s="504" t="n"/>
      <c r="G25" s="510" t="n"/>
      <c r="H25" s="510" t="n"/>
      <c r="I25" s="290" t="n"/>
      <c r="J25" s="535" t="n"/>
      <c r="L25" s="510" t="n"/>
    </row>
    <row r="26">
      <c r="J26" s="510" t="n"/>
    </row>
    <row r="27">
      <c r="A27" s="397" t="inlineStr">
        <is>
          <t>KITS MERCADO LIBRE</t>
        </is>
      </c>
      <c r="D27" s="273" t="n"/>
      <c r="E27" s="273" t="n"/>
      <c r="F27" s="273" t="n"/>
      <c r="G27" s="273" t="n"/>
      <c r="H27" s="273" t="n"/>
      <c r="I27" s="273" t="n"/>
    </row>
    <row r="28" ht="11" customHeight="1" thickBot="1">
      <c r="A28" s="199" t="n"/>
      <c r="B28" s="199" t="n"/>
      <c r="C28" s="199" t="n"/>
      <c r="J28" s="504" t="n"/>
      <c r="K28" s="504" t="n"/>
    </row>
    <row r="29" ht="21.5" customHeight="1" thickBot="1">
      <c r="A29" s="276" t="inlineStr">
        <is>
          <t>SISTEMA</t>
        </is>
      </c>
      <c r="B29" s="276" t="inlineStr">
        <is>
          <t>CÓDIGOS</t>
        </is>
      </c>
      <c r="C29" s="277" t="inlineStr">
        <is>
          <t>PRODUCTOS</t>
        </is>
      </c>
      <c r="D29" s="278" t="inlineStr">
        <is>
          <t>Precio unitario normal</t>
        </is>
      </c>
      <c r="E29" s="279" t="inlineStr">
        <is>
          <t>Precio facturación</t>
        </is>
      </c>
      <c r="F29" s="277" t="inlineStr">
        <is>
          <t>Total</t>
        </is>
      </c>
      <c r="G29" s="280" t="inlineStr">
        <is>
          <t>Venta -%</t>
        </is>
      </c>
      <c r="H29" s="281" t="n"/>
      <c r="I29" s="281" t="n"/>
      <c r="J29" s="283" t="inlineStr">
        <is>
          <t>Facturación por producto</t>
        </is>
      </c>
      <c r="K29" s="284" t="inlineStr">
        <is>
          <t>Facturación Total</t>
        </is>
      </c>
    </row>
    <row r="30" ht="17.25" customHeight="1">
      <c r="A30" s="536" t="inlineStr">
        <is>
          <t>KIT GLUCOSAMINA JUSTFX + COLÁGENO JUSTCOLLAGEN 90´s</t>
        </is>
      </c>
      <c r="B30" s="320" t="n">
        <v>503635000501</v>
      </c>
      <c r="C30" s="312" t="inlineStr">
        <is>
          <t>JustCollagen 90 tabs</t>
        </is>
      </c>
      <c r="D30" s="531" t="n">
        <v>280.0008</v>
      </c>
      <c r="E30" s="531" t="n">
        <v>241.38</v>
      </c>
      <c r="F30" s="537" t="n">
        <v>715.0007999999999</v>
      </c>
      <c r="G30" s="538" t="n">
        <v>643.5007199999999</v>
      </c>
      <c r="H30" s="539" t="n"/>
      <c r="I30" s="306" t="n">
        <v>0.1</v>
      </c>
      <c r="J30" s="511" t="n">
        <v>217.242</v>
      </c>
      <c r="K30" s="540" t="n">
        <v>554.742</v>
      </c>
      <c r="L30" s="510" t="n"/>
    </row>
    <row r="31" ht="11" customHeight="1" thickBot="1">
      <c r="A31" s="513" t="n"/>
      <c r="B31" s="323" t="n">
        <v>503635000900</v>
      </c>
      <c r="C31" s="308" t="inlineStr">
        <is>
          <t>JustFx 90</t>
        </is>
      </c>
      <c r="D31" s="530" t="n">
        <v>434.9999999999999</v>
      </c>
      <c r="E31" s="530" t="n">
        <v>375</v>
      </c>
      <c r="F31" s="516" t="n"/>
      <c r="G31" s="517" t="n"/>
      <c r="H31" s="539" t="n"/>
      <c r="I31" s="306" t="n">
        <v>0.1</v>
      </c>
      <c r="J31" s="541" t="n">
        <v>337.5</v>
      </c>
      <c r="K31" s="325" t="n"/>
      <c r="L31" s="510" t="n"/>
    </row>
    <row r="32" ht="27" customHeight="1">
      <c r="A32" s="505" t="inlineStr">
        <is>
          <t>KIT BEST SELLER: GLUCOSAMINA JUSTFX + COLÁGENO JUSTCOLLAGEN 120´s</t>
        </is>
      </c>
      <c r="B32" s="234" t="n">
        <v>503635002600</v>
      </c>
      <c r="C32" s="297" t="inlineStr">
        <is>
          <t>JustCollagen 180 tabs</t>
        </is>
      </c>
      <c r="D32" s="506" t="n">
        <v>406</v>
      </c>
      <c r="E32" s="519" t="n">
        <v>350</v>
      </c>
      <c r="F32" s="508" t="n">
        <v>926.0047999999999</v>
      </c>
      <c r="G32" s="526" t="n">
        <v>833.40432</v>
      </c>
      <c r="H32" s="510" t="n"/>
      <c r="I32" s="290" t="n">
        <v>0.1</v>
      </c>
      <c r="J32" s="511" t="n">
        <v>315.0000000000001</v>
      </c>
      <c r="K32" s="522" t="n">
        <v>718.452</v>
      </c>
      <c r="L32" s="510" t="n"/>
    </row>
    <row r="33" ht="11" customHeight="1" thickBot="1">
      <c r="A33" s="513" t="n"/>
      <c r="B33" s="233" t="n">
        <v>503635000705</v>
      </c>
      <c r="C33" s="302" t="inlineStr">
        <is>
          <t>JustFx 120</t>
        </is>
      </c>
      <c r="D33" s="514" t="n">
        <v>520.0047999999999</v>
      </c>
      <c r="E33" s="515" t="n">
        <v>448.28</v>
      </c>
      <c r="F33" s="516" t="n"/>
      <c r="G33" s="516" t="n"/>
      <c r="H33" s="510" t="n"/>
      <c r="I33" s="290" t="n">
        <v>0.1</v>
      </c>
      <c r="J33" s="541" t="n">
        <v>403.452</v>
      </c>
      <c r="K33" s="395" t="n"/>
    </row>
    <row r="34" ht="18" customHeight="1" thickBot="1">
      <c r="A34" s="536" t="inlineStr">
        <is>
          <t xml:space="preserve">KIT PROBIÓTICOS + OMEGA, 120 GOMITAS </t>
        </is>
      </c>
      <c r="B34" s="326" t="n">
        <v>503635004400</v>
      </c>
      <c r="C34" s="304" t="inlineStr">
        <is>
          <t>Probióticos 120</t>
        </is>
      </c>
      <c r="D34" s="527" t="n">
        <v>315.9956</v>
      </c>
      <c r="E34" s="527" t="n">
        <v>272.41</v>
      </c>
      <c r="F34" s="508" t="n">
        <v>631.9912</v>
      </c>
      <c r="G34" s="526" t="n">
        <v>600.3916400000001</v>
      </c>
      <c r="H34" s="510" t="n"/>
      <c r="I34" s="306" t="n">
        <v>0.1</v>
      </c>
      <c r="J34" s="541" t="n">
        <v>245.169</v>
      </c>
      <c r="K34" s="512" t="n">
        <v>490.3380000000001</v>
      </c>
    </row>
    <row r="35" ht="18" customHeight="1" thickBot="1">
      <c r="A35" s="513" t="n"/>
      <c r="B35" s="323" t="n">
        <v>503635004300</v>
      </c>
      <c r="C35" s="308" t="inlineStr">
        <is>
          <t>Omega 120</t>
        </is>
      </c>
      <c r="D35" s="530" t="n">
        <v>315.9956</v>
      </c>
      <c r="E35" s="530" t="n">
        <v>272.41</v>
      </c>
      <c r="F35" s="516" t="n"/>
      <c r="G35" s="516" t="n"/>
      <c r="H35" s="510" t="n"/>
      <c r="I35" s="306" t="n">
        <v>0.1</v>
      </c>
      <c r="J35" s="541" t="n">
        <v>245.169</v>
      </c>
      <c r="K35" s="518" t="n"/>
    </row>
    <row r="36" ht="18.75" customHeight="1" thickBot="1">
      <c r="A36" s="505" t="inlineStr">
        <is>
          <t>KIT GOMITAS DE COLÁGENO 111 + BIOTINA 110</t>
        </is>
      </c>
      <c r="B36" s="234" t="n">
        <v>503635001700</v>
      </c>
      <c r="C36" s="297" t="inlineStr">
        <is>
          <t>JustCollagen 111</t>
        </is>
      </c>
      <c r="D36" s="506" t="n">
        <v>419.0035999999999</v>
      </c>
      <c r="E36" s="519" t="n">
        <v>361.21</v>
      </c>
      <c r="F36" s="508" t="n">
        <v>838.0071999999999</v>
      </c>
      <c r="G36" s="526" t="n">
        <v>796.1068399999999</v>
      </c>
      <c r="H36" s="510" t="n"/>
      <c r="I36" s="290" t="n">
        <v>0.1</v>
      </c>
      <c r="J36" s="541" t="n">
        <v>325.089</v>
      </c>
      <c r="K36" s="512" t="n">
        <v>650.178</v>
      </c>
    </row>
    <row r="37" ht="18.75" customHeight="1" thickBot="1">
      <c r="A37" s="513" t="n"/>
      <c r="B37" s="233" t="n">
        <v>503635004600</v>
      </c>
      <c r="C37" s="302" t="inlineStr">
        <is>
          <t>Biotina 110 gomas</t>
        </is>
      </c>
      <c r="D37" s="514" t="n">
        <v>419.0035999999999</v>
      </c>
      <c r="E37" s="515" t="n">
        <v>361.21</v>
      </c>
      <c r="F37" s="516" t="n"/>
      <c r="G37" s="516" t="n"/>
      <c r="H37" s="510" t="n"/>
      <c r="I37" s="290" t="n">
        <v>0.1</v>
      </c>
      <c r="J37" s="541" t="n">
        <v>325.089</v>
      </c>
      <c r="K37" s="518" t="n"/>
    </row>
    <row r="38" ht="15.75" customHeight="1" thickBot="1">
      <c r="A38" s="505" t="inlineStr">
        <is>
          <t>KIT JUST OMEGA 3 110 GOMITAS 2 PIEZAS</t>
        </is>
      </c>
      <c r="B38" s="234" t="n">
        <v>503635001800</v>
      </c>
      <c r="C38" s="297" t="inlineStr">
        <is>
          <t>JustOmega 3 110</t>
        </is>
      </c>
      <c r="D38" s="506" t="n">
        <v>419.0035999999999</v>
      </c>
      <c r="E38" s="519" t="n">
        <v>361.21</v>
      </c>
      <c r="F38" s="508" t="n">
        <v>838.0071999999999</v>
      </c>
      <c r="G38" s="526" t="n">
        <v>796.1068399999999</v>
      </c>
      <c r="H38" s="510" t="n"/>
      <c r="I38" s="290" t="n">
        <v>0.1</v>
      </c>
      <c r="J38" s="541" t="n">
        <v>325.089</v>
      </c>
      <c r="K38" s="512" t="n">
        <v>650.178</v>
      </c>
    </row>
    <row r="39" ht="11" customHeight="1" thickBot="1">
      <c r="A39" s="513" t="n"/>
      <c r="B39" s="233" t="n">
        <v>503635001800</v>
      </c>
      <c r="C39" s="302" t="inlineStr">
        <is>
          <t>JustOmega 3 110</t>
        </is>
      </c>
      <c r="D39" s="514" t="n">
        <v>419.0035999999999</v>
      </c>
      <c r="E39" s="515" t="n">
        <v>361.21</v>
      </c>
      <c r="F39" s="516" t="n"/>
      <c r="G39" s="516" t="n"/>
      <c r="H39" s="510" t="n"/>
      <c r="I39" s="290" t="n">
        <v>0.1</v>
      </c>
      <c r="J39" s="541" t="n">
        <v>325.089</v>
      </c>
      <c r="K39" s="518" t="n"/>
    </row>
    <row r="40" ht="15.75" customHeight="1" thickBot="1">
      <c r="A40" s="536" t="inlineStr">
        <is>
          <t>KIT  JUST COLLAGEN 111 GOMITAS 2 PIEZAS</t>
        </is>
      </c>
      <c r="B40" s="326" t="n">
        <v>503635001700</v>
      </c>
      <c r="C40" s="304" t="inlineStr">
        <is>
          <t>JustCollagen 111 gomitas</t>
        </is>
      </c>
      <c r="D40" s="527" t="n">
        <v>419.0035999999999</v>
      </c>
      <c r="E40" s="527" t="n">
        <v>361.21</v>
      </c>
      <c r="F40" s="508" t="n">
        <v>838.0071999999999</v>
      </c>
      <c r="G40" s="526" t="n">
        <v>796.1068399999999</v>
      </c>
      <c r="H40" s="510" t="n"/>
      <c r="I40" s="306" t="n">
        <v>0.1</v>
      </c>
      <c r="J40" s="541" t="n">
        <v>325.089</v>
      </c>
      <c r="K40" s="512" t="n">
        <v>650.178</v>
      </c>
    </row>
    <row r="41" ht="11" customHeight="1" thickBot="1">
      <c r="A41" s="513" t="n"/>
      <c r="B41" s="323" t="n">
        <v>503635001700</v>
      </c>
      <c r="C41" s="327" t="inlineStr">
        <is>
          <t>JustCollagen 111 gomitas</t>
        </is>
      </c>
      <c r="D41" s="527" t="n">
        <v>419.0035999999999</v>
      </c>
      <c r="E41" s="527" t="n">
        <v>361.21</v>
      </c>
      <c r="F41" s="516" t="n"/>
      <c r="G41" s="516" t="n"/>
      <c r="H41" s="510" t="n"/>
      <c r="I41" s="306" t="n">
        <v>0.1</v>
      </c>
      <c r="J41" s="541" t="n">
        <v>325.089</v>
      </c>
      <c r="K41" s="518" t="n"/>
    </row>
    <row r="42" ht="15" customHeight="1">
      <c r="A42" s="505" t="inlineStr">
        <is>
          <t>KIT DE COLÁGENO HIDROLIZADO: POLVO + GOMITAS + TABLETAS</t>
        </is>
      </c>
      <c r="B42" s="239" t="n">
        <v>503635000200</v>
      </c>
      <c r="C42" s="301" t="inlineStr">
        <is>
          <t>JustCollagen polvo 210 gr</t>
        </is>
      </c>
      <c r="D42" s="520" t="n">
        <v>419.0035999999999</v>
      </c>
      <c r="E42" s="507" t="n">
        <v>361.21</v>
      </c>
      <c r="F42" s="508" t="n">
        <v>1244.0072</v>
      </c>
      <c r="G42" s="509" t="n">
        <v>1119.60648</v>
      </c>
      <c r="H42" s="510" t="n"/>
      <c r="I42" s="290" t="n">
        <v>0.1</v>
      </c>
      <c r="J42" s="511" t="n">
        <v>325.089</v>
      </c>
      <c r="K42" s="512" t="n">
        <v>965.1780000000001</v>
      </c>
    </row>
    <row r="43">
      <c r="A43" s="532" t="n"/>
      <c r="B43" s="240" t="n">
        <v>503635002600</v>
      </c>
      <c r="C43" s="314" t="inlineStr">
        <is>
          <t>JustCollagen 180 tabs</t>
        </is>
      </c>
      <c r="D43" s="506" t="n">
        <v>406</v>
      </c>
      <c r="E43" s="519" t="n">
        <v>350</v>
      </c>
      <c r="F43" s="524" t="n"/>
      <c r="G43" s="533" t="n"/>
      <c r="H43" s="510" t="n"/>
      <c r="I43" s="290" t="n">
        <v>0.1</v>
      </c>
      <c r="J43" s="542" t="n">
        <v>315.0000000000001</v>
      </c>
      <c r="K43" s="525" t="n"/>
    </row>
    <row r="44" ht="11" customHeight="1" thickBot="1">
      <c r="A44" s="513" t="n"/>
      <c r="B44" s="233" t="n">
        <v>503635001700</v>
      </c>
      <c r="C44" s="302" t="inlineStr">
        <is>
          <t>JustCollagen 111 gomitas</t>
        </is>
      </c>
      <c r="D44" s="514" t="n">
        <v>419.0035999999999</v>
      </c>
      <c r="E44" s="515" t="n">
        <v>361.21</v>
      </c>
      <c r="F44" s="516" t="n"/>
      <c r="G44" s="517" t="n"/>
      <c r="H44" s="510" t="n"/>
      <c r="I44" s="290" t="n">
        <v>0.1</v>
      </c>
      <c r="J44" s="541" t="n">
        <v>325.089</v>
      </c>
      <c r="K44" s="518" t="n"/>
    </row>
    <row r="45" ht="11" customHeight="1" thickBot="1">
      <c r="A45" s="417" t="inlineStr">
        <is>
          <t>KIT GLUCOSAMINA CONDROITINA + BORO Y MANGANESO 240 TABLETAS 2 PZ</t>
        </is>
      </c>
      <c r="B45" s="239" t="n">
        <v>503635000300</v>
      </c>
      <c r="C45" s="301" t="inlineStr">
        <is>
          <t>Glucosamina 240</t>
        </is>
      </c>
      <c r="D45" s="520" t="n">
        <v>599.0007999999999</v>
      </c>
      <c r="E45" s="507" t="n">
        <v>516.38</v>
      </c>
      <c r="F45" s="508" t="n">
        <v>1198.0016</v>
      </c>
      <c r="G45" s="509" t="n">
        <v>1138.10152</v>
      </c>
      <c r="H45" s="510" t="n"/>
      <c r="I45" s="290" t="n">
        <v>0.1</v>
      </c>
      <c r="J45" s="541" t="n">
        <v>464.742</v>
      </c>
      <c r="K45" s="529" t="n">
        <v>929.4839999999999</v>
      </c>
    </row>
    <row r="46" ht="18.75" customHeight="1" thickBot="1">
      <c r="A46" s="523" t="n"/>
      <c r="B46" s="233" t="n">
        <v>503635000300</v>
      </c>
      <c r="C46" s="302" t="inlineStr">
        <is>
          <t>Glucosamina 240</t>
        </is>
      </c>
      <c r="D46" s="514" t="n">
        <v>599.0007999999999</v>
      </c>
      <c r="E46" s="515" t="n">
        <v>516.38</v>
      </c>
      <c r="F46" s="516" t="n"/>
      <c r="G46" s="517" t="n"/>
      <c r="H46" s="510" t="n"/>
      <c r="I46" s="290" t="n">
        <v>0.1</v>
      </c>
      <c r="J46" s="541" t="n">
        <v>464.742</v>
      </c>
      <c r="K46" s="518" t="n"/>
    </row>
    <row r="47" ht="11" customHeight="1" thickBot="1">
      <c r="A47" s="536" t="inlineStr">
        <is>
          <t>KIT BIOTINA + ARÁNDANO JUST BIO H 110 GOMITAS 2 PIEZAS</t>
        </is>
      </c>
      <c r="B47" s="326" t="n">
        <v>503635001600</v>
      </c>
      <c r="C47" s="304" t="inlineStr">
        <is>
          <t>JustBio H 110</t>
        </is>
      </c>
      <c r="D47" s="527" t="n">
        <v>419.0035999999999</v>
      </c>
      <c r="E47" s="527" t="n">
        <v>361.21</v>
      </c>
      <c r="F47" s="508" t="n">
        <v>838.0071999999999</v>
      </c>
      <c r="G47" s="509" t="n">
        <v>796.1068399999999</v>
      </c>
      <c r="H47" s="510" t="n"/>
      <c r="I47" s="306" t="n">
        <v>0.1</v>
      </c>
      <c r="J47" s="541" t="n">
        <v>325.089</v>
      </c>
      <c r="K47" s="529" t="n">
        <v>650.178</v>
      </c>
    </row>
    <row r="48" ht="11" customHeight="1" thickBot="1">
      <c r="A48" s="513" t="n"/>
      <c r="B48" s="323" t="n">
        <v>503635001600</v>
      </c>
      <c r="C48" s="327" t="inlineStr">
        <is>
          <t>JustBio H 110</t>
        </is>
      </c>
      <c r="D48" s="527" t="n">
        <v>419.0035999999999</v>
      </c>
      <c r="E48" s="527" t="n">
        <v>361.21</v>
      </c>
      <c r="F48" s="516" t="n"/>
      <c r="G48" s="517" t="n"/>
      <c r="H48" s="510" t="n"/>
      <c r="I48" s="306" t="n">
        <v>0.1</v>
      </c>
      <c r="J48" s="541" t="n">
        <v>325.089</v>
      </c>
      <c r="K48" s="518" t="n"/>
    </row>
    <row r="49" ht="11" customHeight="1" thickBot="1">
      <c r="A49" s="417" t="inlineStr">
        <is>
          <t>KIT JUSTBIOTICS 110 GOMAS 2 PIEZAS</t>
        </is>
      </c>
      <c r="B49" s="239" t="n">
        <v>503635002000</v>
      </c>
      <c r="C49" s="301" t="inlineStr">
        <is>
          <t>JustBiotics 110</t>
        </is>
      </c>
      <c r="D49" s="520" t="n">
        <v>419.0035999999999</v>
      </c>
      <c r="E49" s="507" t="n">
        <v>361.21</v>
      </c>
      <c r="F49" s="508" t="n">
        <v>838.0071999999999</v>
      </c>
      <c r="G49" s="509" t="n">
        <v>796.1068399999999</v>
      </c>
      <c r="H49" s="510" t="n"/>
      <c r="I49" s="290" t="n">
        <v>0.1</v>
      </c>
      <c r="J49" s="541" t="n">
        <v>325.089</v>
      </c>
      <c r="K49" s="529" t="n">
        <v>650.178</v>
      </c>
    </row>
    <row r="50" ht="11" customHeight="1" thickBot="1">
      <c r="A50" s="523" t="n"/>
      <c r="B50" s="233" t="n">
        <v>503635002000</v>
      </c>
      <c r="C50" s="302" t="inlineStr">
        <is>
          <t>JustBiotics 110</t>
        </is>
      </c>
      <c r="D50" s="514" t="n">
        <v>419.0035999999999</v>
      </c>
      <c r="E50" s="515" t="n">
        <v>361.21</v>
      </c>
      <c r="F50" s="516" t="n"/>
      <c r="G50" s="517" t="n"/>
      <c r="H50" s="510" t="n"/>
      <c r="I50" s="290" t="n">
        <v>0.1</v>
      </c>
      <c r="J50" s="541" t="n">
        <v>325.089</v>
      </c>
      <c r="K50" s="518" t="n"/>
    </row>
    <row r="53">
      <c r="A53" s="397" t="inlineStr">
        <is>
          <t>KITS AMAZON</t>
        </is>
      </c>
      <c r="D53" s="273" t="n"/>
      <c r="E53" s="273" t="n"/>
      <c r="F53" s="543" t="n"/>
      <c r="G53" s="273" t="n"/>
      <c r="H53" s="273" t="n"/>
      <c r="I53" s="273" t="n"/>
    </row>
    <row r="54" ht="11" customHeight="1" thickBot="1">
      <c r="A54" s="199" t="n"/>
      <c r="B54" s="199" t="n"/>
      <c r="C54" s="199" t="n"/>
      <c r="J54" s="504" t="n"/>
      <c r="K54" s="504" t="n"/>
    </row>
    <row r="55" ht="32" customHeight="1" thickBot="1">
      <c r="A55" s="276" t="inlineStr">
        <is>
          <t>SISTEMA</t>
        </is>
      </c>
      <c r="B55" s="276" t="n"/>
      <c r="C55" s="277" t="inlineStr">
        <is>
          <t>PRODUCTOS</t>
        </is>
      </c>
      <c r="D55" s="278" t="inlineStr">
        <is>
          <t>Precio unitario normal</t>
        </is>
      </c>
      <c r="E55" s="279" t="inlineStr">
        <is>
          <t>Precio facturación normal</t>
        </is>
      </c>
      <c r="F55" s="277" t="inlineStr">
        <is>
          <t>Total</t>
        </is>
      </c>
      <c r="G55" s="280" t="inlineStr">
        <is>
          <t>Venta -%</t>
        </is>
      </c>
      <c r="H55" s="281" t="n"/>
      <c r="I55" s="281" t="n"/>
      <c r="J55" s="283" t="inlineStr">
        <is>
          <t>Facturación por producto</t>
        </is>
      </c>
      <c r="K55" s="284" t="inlineStr">
        <is>
          <t>Facturación Total</t>
        </is>
      </c>
    </row>
    <row r="56">
      <c r="A56" s="388" t="inlineStr">
        <is>
          <t xml:space="preserve">KIT GLUCOSAMINA JUSTFX + COLÁGENO HIDROLIZADO JUSTCOLLAGEN </t>
        </is>
      </c>
      <c r="B56" s="330" t="n">
        <v>503635002600</v>
      </c>
      <c r="C56" s="304" t="inlineStr">
        <is>
          <t>JustCollagen 180 tabs</t>
        </is>
      </c>
      <c r="D56" s="527" t="n">
        <v>406</v>
      </c>
      <c r="E56" s="527" t="n">
        <v>350</v>
      </c>
      <c r="F56" s="508" t="n">
        <v>1044</v>
      </c>
      <c r="G56" s="528" t="n">
        <v>939.6</v>
      </c>
      <c r="H56" s="510" t="n"/>
      <c r="I56" s="306" t="n">
        <v>0.1</v>
      </c>
      <c r="J56" s="511" t="n">
        <v>315.0000000000001</v>
      </c>
      <c r="K56" s="512" t="n">
        <v>810.0000000000001</v>
      </c>
    </row>
    <row r="57" ht="11" customHeight="1" thickBot="1">
      <c r="A57" s="523" t="n"/>
      <c r="B57" s="323" t="n">
        <v>503635000705</v>
      </c>
      <c r="C57" s="308" t="inlineStr">
        <is>
          <t>JustFx 120</t>
        </is>
      </c>
      <c r="D57" s="530" t="n">
        <v>638</v>
      </c>
      <c r="E57" s="530" t="n">
        <v>550</v>
      </c>
      <c r="F57" s="516" t="n"/>
      <c r="G57" s="516" t="n"/>
      <c r="H57" s="510" t="n"/>
      <c r="I57" s="306" t="n">
        <v>0.1</v>
      </c>
      <c r="J57" s="541" t="n">
        <v>495.0000000000001</v>
      </c>
      <c r="K57" s="518" t="n"/>
    </row>
    <row r="59">
      <c r="G59" s="510" t="n"/>
    </row>
    <row r="60">
      <c r="G60" s="510" t="n"/>
    </row>
  </sheetData>
  <mergeCells count="85">
    <mergeCell ref="G8:G9"/>
    <mergeCell ref="A20:A22"/>
    <mergeCell ref="A16:A17"/>
    <mergeCell ref="G10:G11"/>
    <mergeCell ref="F18:F19"/>
    <mergeCell ref="F30:F31"/>
    <mergeCell ref="F45:F46"/>
    <mergeCell ref="A1:C2"/>
    <mergeCell ref="F47:F48"/>
    <mergeCell ref="G18:G19"/>
    <mergeCell ref="G49:G50"/>
    <mergeCell ref="G42:G44"/>
    <mergeCell ref="G12:G13"/>
    <mergeCell ref="K6:K7"/>
    <mergeCell ref="F34:F35"/>
    <mergeCell ref="F16:F17"/>
    <mergeCell ref="A42:A44"/>
    <mergeCell ref="G36:G37"/>
    <mergeCell ref="F40:F41"/>
    <mergeCell ref="G23:G24"/>
    <mergeCell ref="A53:C54"/>
    <mergeCell ref="F36:F37"/>
    <mergeCell ref="G20:G22"/>
    <mergeCell ref="A45:A46"/>
    <mergeCell ref="A56:A57"/>
    <mergeCell ref="K56:K57"/>
    <mergeCell ref="K40:K41"/>
    <mergeCell ref="A8:A9"/>
    <mergeCell ref="A23:A24"/>
    <mergeCell ref="A27:C28"/>
    <mergeCell ref="A10:A11"/>
    <mergeCell ref="K34:K35"/>
    <mergeCell ref="F4:F5"/>
    <mergeCell ref="A49:A50"/>
    <mergeCell ref="F10:F11"/>
    <mergeCell ref="K42:K44"/>
    <mergeCell ref="A36:A37"/>
    <mergeCell ref="A6:A7"/>
    <mergeCell ref="K45:K46"/>
    <mergeCell ref="G38:G39"/>
    <mergeCell ref="F8:F9"/>
    <mergeCell ref="A12:A13"/>
    <mergeCell ref="K47:K48"/>
    <mergeCell ref="G6:G7"/>
    <mergeCell ref="F23:F24"/>
    <mergeCell ref="A14:A15"/>
    <mergeCell ref="G30:G31"/>
    <mergeCell ref="A4:A5"/>
    <mergeCell ref="K8:K9"/>
    <mergeCell ref="K4:K5"/>
    <mergeCell ref="G16:G17"/>
    <mergeCell ref="F49:F50"/>
    <mergeCell ref="K10:K11"/>
    <mergeCell ref="F14:F15"/>
    <mergeCell ref="A38:A39"/>
    <mergeCell ref="G56:G57"/>
    <mergeCell ref="F20:F22"/>
    <mergeCell ref="K16:K17"/>
    <mergeCell ref="F42:F44"/>
    <mergeCell ref="A40:A41"/>
    <mergeCell ref="F6:F7"/>
    <mergeCell ref="K49:K50"/>
    <mergeCell ref="K18:K19"/>
    <mergeCell ref="K36:K37"/>
    <mergeCell ref="F12:F13"/>
    <mergeCell ref="G34:G35"/>
    <mergeCell ref="F32:F33"/>
    <mergeCell ref="K12:K13"/>
    <mergeCell ref="F56:F57"/>
    <mergeCell ref="A18:A19"/>
    <mergeCell ref="G14:G15"/>
    <mergeCell ref="A32:A33"/>
    <mergeCell ref="K14:K15"/>
    <mergeCell ref="K23:K24"/>
    <mergeCell ref="F38:F39"/>
    <mergeCell ref="G4:G5"/>
    <mergeCell ref="A47:A48"/>
    <mergeCell ref="K20:K22"/>
    <mergeCell ref="K38:K39"/>
    <mergeCell ref="G45:G46"/>
    <mergeCell ref="G32:G33"/>
    <mergeCell ref="A34:A35"/>
    <mergeCell ref="G47:G48"/>
    <mergeCell ref="G40:G41"/>
    <mergeCell ref="A30:A31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"/>
  <sheetViews>
    <sheetView zoomScale="115" zoomScaleNormal="115" workbookViewId="0">
      <selection activeCell="B11" sqref="B11"/>
    </sheetView>
  </sheetViews>
  <sheetFormatPr baseColWidth="10" defaultColWidth="12.1796875" defaultRowHeight="14"/>
  <cols>
    <col width="11.26953125" bestFit="1" customWidth="1" style="167" min="1" max="1"/>
    <col width="41" bestFit="1" customWidth="1" style="167" min="2" max="2"/>
    <col width="6.54296875" bestFit="1" customWidth="1" style="167" min="3" max="3"/>
    <col width="10.7265625" bestFit="1" customWidth="1" style="167" min="4" max="4"/>
    <col width="11.453125" bestFit="1" customWidth="1" style="167" min="5" max="5"/>
    <col width="9.81640625" bestFit="1" customWidth="1" style="167" min="6" max="6"/>
    <col width="9" bestFit="1" customWidth="1" style="167" min="7" max="7"/>
    <col width="10.1796875" bestFit="1" customWidth="1" style="167" min="8" max="8"/>
    <col width="8.453125" bestFit="1" customWidth="1" style="167" min="9" max="9"/>
    <col width="7.26953125" bestFit="1" customWidth="1" style="167" min="10" max="10"/>
    <col width="12.1796875" customWidth="1" style="167" min="11" max="16384"/>
  </cols>
  <sheetData>
    <row r="1">
      <c r="E1" s="258" t="n"/>
    </row>
    <row r="2" ht="30" customHeight="1" thickBot="1">
      <c r="A2" s="250" t="inlineStr">
        <is>
          <t>Código</t>
        </is>
      </c>
      <c r="B2" s="262" t="inlineStr">
        <is>
          <t>PRODUCTOS:</t>
        </is>
      </c>
      <c r="C2" s="250" t="inlineStr">
        <is>
          <t>Compra
mínima</t>
        </is>
      </c>
      <c r="D2" s="250" t="inlineStr">
        <is>
          <t>Precio normal</t>
        </is>
      </c>
      <c r="E2" s="251" t="inlineStr">
        <is>
          <t>Precio OUTLET</t>
        </is>
      </c>
      <c r="F2" s="252" t="inlineStr">
        <is>
          <t>Precio facturación</t>
        </is>
      </c>
      <c r="G2" s="259" t="inlineStr">
        <is>
          <t>Descuento</t>
        </is>
      </c>
      <c r="H2" s="232" t="inlineStr">
        <is>
          <t>2 piezas x</t>
        </is>
      </c>
      <c r="I2" s="253" t="inlineStr">
        <is>
          <t>Fecha de caducidad</t>
        </is>
      </c>
      <c r="J2" s="232" t="inlineStr">
        <is>
          <t>OV</t>
        </is>
      </c>
    </row>
    <row r="3">
      <c r="A3" s="260" t="n">
        <v>503635004300</v>
      </c>
      <c r="B3" s="257" t="inlineStr">
        <is>
          <t>GOMITAS OMEGA-3 &amp; DHA 120 PZS</t>
        </is>
      </c>
      <c r="C3" s="254" t="n">
        <v>2</v>
      </c>
      <c r="D3" s="544" t="n">
        <v>267</v>
      </c>
      <c r="E3" s="544" t="n">
        <v>138.84</v>
      </c>
      <c r="F3" s="545" t="n">
        <v>119.6896551724138</v>
      </c>
      <c r="G3" s="261" t="n">
        <v>-0.48</v>
      </c>
      <c r="H3" s="545">
        <f>C3*E3</f>
        <v/>
      </c>
      <c r="I3" s="256" t="n">
        <v>45292</v>
      </c>
      <c r="J3" s="263" t="n">
        <v>230.1724137931035</v>
      </c>
    </row>
    <row r="4">
      <c r="A4" s="260" t="n">
        <v>503635004600</v>
      </c>
      <c r="B4" s="257" t="inlineStr">
        <is>
          <t>GOMITAS BIOTINA &amp; ARANDANO 120 PZS</t>
        </is>
      </c>
      <c r="C4" s="257" t="n">
        <v>2</v>
      </c>
      <c r="D4" s="544" t="n">
        <v>267</v>
      </c>
      <c r="E4" s="544" t="n">
        <v>138.84</v>
      </c>
      <c r="F4" s="545" t="n">
        <v>119.6896551724138</v>
      </c>
      <c r="G4" s="261" t="n">
        <v>-0.48</v>
      </c>
      <c r="H4" s="545">
        <f>C4*E4</f>
        <v/>
      </c>
      <c r="I4" s="256" t="n">
        <v>45261</v>
      </c>
      <c r="J4" s="263" t="n">
        <v>230.1724137931035</v>
      </c>
    </row>
    <row r="5">
      <c r="A5" s="260" t="n">
        <v>503635004400</v>
      </c>
      <c r="B5" s="257" t="inlineStr">
        <is>
          <t>GOMITAS PROBIOTICOS &amp; FIBRA 120 PZS</t>
        </is>
      </c>
      <c r="C5" s="254" t="n">
        <v>2</v>
      </c>
      <c r="D5" s="544" t="n">
        <v>267</v>
      </c>
      <c r="E5" s="544" t="n">
        <v>138.84</v>
      </c>
      <c r="F5" s="545" t="n">
        <v>119.689655172414</v>
      </c>
      <c r="G5" s="261" t="n">
        <v>-0.48</v>
      </c>
      <c r="H5" s="545">
        <f>C5*E5</f>
        <v/>
      </c>
      <c r="I5" s="256" t="n">
        <v>45261</v>
      </c>
      <c r="J5" s="263" t="n">
        <v>230.1724137931035</v>
      </c>
    </row>
    <row r="6">
      <c r="A6" s="260" t="n">
        <v>503635004500</v>
      </c>
      <c r="B6" s="257" t="inlineStr">
        <is>
          <t>COLÁGENO+BIOTINA 120 GOMAS</t>
        </is>
      </c>
      <c r="C6" s="254" t="n">
        <v>2</v>
      </c>
      <c r="D6" s="544" t="n">
        <v>267</v>
      </c>
      <c r="E6" s="544" t="n">
        <v>138.84</v>
      </c>
      <c r="F6" s="545" t="n">
        <v>119.6896551724138</v>
      </c>
      <c r="G6" s="261" t="n">
        <v>-0.48</v>
      </c>
      <c r="H6" s="545">
        <f>C6*E6</f>
        <v/>
      </c>
      <c r="I6" s="256" t="n">
        <v>45261</v>
      </c>
      <c r="J6" s="263" t="n">
        <v>230.1724137931035</v>
      </c>
    </row>
    <row r="7">
      <c r="A7" s="260" t="n">
        <v>503635003900</v>
      </c>
      <c r="B7" s="257" t="inlineStr">
        <is>
          <t>JUSTCETRUX 180 TABLETAS</t>
        </is>
      </c>
      <c r="C7" s="254" t="n">
        <v>2</v>
      </c>
      <c r="D7" s="544" t="n">
        <v>199</v>
      </c>
      <c r="E7" s="544">
        <f>D7*0.6</f>
        <v/>
      </c>
      <c r="F7" s="545">
        <f>E7/1.16</f>
        <v/>
      </c>
      <c r="G7" s="261" t="n">
        <v>-0.4</v>
      </c>
      <c r="H7" s="545">
        <f>C7*E7</f>
        <v/>
      </c>
      <c r="I7" s="256" t="n">
        <v>45047</v>
      </c>
      <c r="J7" s="263" t="n">
        <v>171.551724137931</v>
      </c>
    </row>
    <row r="8">
      <c r="A8" s="260" t="n">
        <v>503635003700</v>
      </c>
      <c r="B8" s="257" t="inlineStr">
        <is>
          <t>JUSTCETRUX 60 TABLETAS</t>
        </is>
      </c>
      <c r="C8" s="254" t="n">
        <v>2</v>
      </c>
      <c r="D8" s="544" t="n">
        <v>89</v>
      </c>
      <c r="E8" s="544" t="n">
        <v>74.75999999999999</v>
      </c>
      <c r="F8" s="545" t="n">
        <v>64.44827586206897</v>
      </c>
      <c r="G8" s="261" t="n">
        <v>-0.16</v>
      </c>
      <c r="H8" s="545">
        <f>C8*E8</f>
        <v/>
      </c>
      <c r="I8" s="256" t="n">
        <v>45108</v>
      </c>
      <c r="J8" s="263" t="n">
        <v>76.72413793103449</v>
      </c>
    </row>
    <row r="9">
      <c r="A9" s="260" t="n">
        <v>503635000200</v>
      </c>
      <c r="B9" s="257" t="inlineStr">
        <is>
          <t xml:space="preserve">JUSTCOLLAGEN POLVO 210 GRS </t>
        </is>
      </c>
      <c r="C9" s="254" t="n">
        <v>2</v>
      </c>
      <c r="D9" s="544" t="n">
        <v>349</v>
      </c>
      <c r="E9" s="544" t="n">
        <v>174.5</v>
      </c>
      <c r="F9" s="545" t="n">
        <v>149.5</v>
      </c>
      <c r="G9" s="261" t="n">
        <v>-0.5</v>
      </c>
      <c r="H9" s="545">
        <f>C9*E9</f>
        <v/>
      </c>
      <c r="I9" s="256" t="n">
        <v>45200</v>
      </c>
      <c r="J9" s="263" t="n">
        <v>300.8620689655173</v>
      </c>
      <c r="L9" s="263" t="n"/>
    </row>
    <row r="10">
      <c r="A10" s="260" t="n">
        <v>500034000100</v>
      </c>
      <c r="B10" s="257" t="inlineStr">
        <is>
          <t>ARISTOCAPS 30 CAPS</t>
        </is>
      </c>
      <c r="C10" s="254" t="n">
        <v>2</v>
      </c>
      <c r="D10" s="544" t="n">
        <v>174</v>
      </c>
      <c r="E10" s="544" t="n">
        <v>99.18000000000001</v>
      </c>
      <c r="F10" s="545" t="n">
        <v>99</v>
      </c>
      <c r="G10" s="261" t="n">
        <v>-0.43</v>
      </c>
      <c r="H10" s="545">
        <f>C10*E10</f>
        <v/>
      </c>
      <c r="I10" s="256" t="n">
        <v>45444</v>
      </c>
      <c r="J10" s="263" t="n">
        <v>150</v>
      </c>
    </row>
    <row r="11">
      <c r="A11" s="260" t="n">
        <v>500034000300</v>
      </c>
      <c r="B11" s="257" t="inlineStr">
        <is>
          <t>ARISTOCAPS 90 CAPS</t>
        </is>
      </c>
      <c r="C11" s="254" t="n">
        <v>2</v>
      </c>
      <c r="D11" s="544" t="n">
        <v>399</v>
      </c>
      <c r="E11" s="544">
        <f>D11*0.5</f>
        <v/>
      </c>
      <c r="F11" s="545">
        <f>D11*0.5</f>
        <v/>
      </c>
      <c r="G11" s="261" t="n">
        <v>-0.5</v>
      </c>
      <c r="H11" s="545">
        <f>C11*E11</f>
        <v/>
      </c>
      <c r="I11" s="545" t="n"/>
      <c r="J11" s="263" t="n">
        <v>343.9655172413794</v>
      </c>
    </row>
    <row r="12" hidden="1">
      <c r="A12" s="260" t="n"/>
      <c r="B12" s="167" t="inlineStr">
        <is>
          <t>ONPACK JUSTCOLLAGEN POLVO 210 GRS.</t>
        </is>
      </c>
      <c r="D12" s="473" t="n">
        <v>349</v>
      </c>
      <c r="F12" s="545">
        <f>(D12*0.6)/1.16</f>
        <v/>
      </c>
      <c r="G12" s="261" t="n">
        <v>-0.4</v>
      </c>
      <c r="H12" s="545">
        <f>C12*E12</f>
        <v/>
      </c>
      <c r="I12" s="545" t="n"/>
      <c r="J12" s="263" t="n">
        <v>300.8620689655173</v>
      </c>
    </row>
    <row r="13">
      <c r="A13" s="260" t="n">
        <v>503635001800</v>
      </c>
      <c r="B13" s="167" t="inlineStr">
        <is>
          <t>JUSTOMEGA-3 110 GOMAS</t>
        </is>
      </c>
      <c r="C13" s="254" t="n">
        <v>2</v>
      </c>
      <c r="D13" s="544" t="n">
        <v>390</v>
      </c>
      <c r="E13" s="544">
        <f>D13*0.5</f>
        <v/>
      </c>
      <c r="F13" s="545">
        <f>(D13*0.5)/1.16</f>
        <v/>
      </c>
      <c r="G13" s="261" t="n">
        <v>-0.5</v>
      </c>
      <c r="H13" s="545">
        <f>C13*E13</f>
        <v/>
      </c>
      <c r="I13" s="256" t="n">
        <v>45078</v>
      </c>
      <c r="J13" s="263" t="n">
        <v>336.2068965517242</v>
      </c>
    </row>
    <row r="14">
      <c r="A14" s="260" t="n">
        <v>503635003700</v>
      </c>
      <c r="B14" s="167" t="inlineStr">
        <is>
          <t>JUSTCALOSTRO  30 CAPS</t>
        </is>
      </c>
      <c r="C14" s="254" t="n">
        <v>2</v>
      </c>
      <c r="D14" s="545" t="n">
        <v>167</v>
      </c>
      <c r="E14" s="545">
        <f>D14*0.5</f>
        <v/>
      </c>
      <c r="F14" s="545">
        <f>(D14*0.5)/1.16</f>
        <v/>
      </c>
      <c r="G14" s="261" t="n">
        <v>-0.5</v>
      </c>
      <c r="H14" s="545">
        <f>C14*E14</f>
        <v/>
      </c>
      <c r="I14" s="256" t="n">
        <v>45444</v>
      </c>
      <c r="J14" s="263" t="n">
        <v>143.9655172413793</v>
      </c>
    </row>
    <row r="15">
      <c r="A15" s="260" t="n">
        <v>503635001800</v>
      </c>
      <c r="B15" s="167" t="inlineStr">
        <is>
          <t>JUST OMEGA 3 110 GOMAS</t>
        </is>
      </c>
      <c r="C15" s="254" t="n">
        <v>2</v>
      </c>
      <c r="D15" s="544" t="n">
        <v>390</v>
      </c>
      <c r="E15" s="545" t="n">
        <v>195</v>
      </c>
      <c r="G15" s="261" t="n">
        <v>-0.5</v>
      </c>
      <c r="H15" s="545">
        <f>C15*E15</f>
        <v/>
      </c>
      <c r="J15" s="263" t="n">
        <v>336.2068965517242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7"/>
  <sheetViews>
    <sheetView zoomScale="110" zoomScaleNormal="110" workbookViewId="0">
      <selection activeCell="C41" sqref="C41"/>
    </sheetView>
  </sheetViews>
  <sheetFormatPr baseColWidth="10" defaultColWidth="11.453125" defaultRowHeight="14.5"/>
  <cols>
    <col width="16.453125" bestFit="1" customWidth="1" min="1" max="1"/>
    <col width="13" customWidth="1" min="2" max="2"/>
    <col width="36.81640625" bestFit="1" customWidth="1" min="3" max="3"/>
    <col width="10.26953125" customWidth="1" min="4" max="4"/>
    <col width="10" customWidth="1" min="5" max="5"/>
    <col width="10.26953125" customWidth="1" style="1" min="6" max="6"/>
  </cols>
  <sheetData>
    <row r="1" ht="15.65" customHeight="1" thickBot="1">
      <c r="A1" s="478" t="inlineStr">
        <is>
          <t>IMPLEMENTACIÓN: 01-MARZO-2023</t>
        </is>
      </c>
      <c r="B1" s="479" t="n"/>
      <c r="C1" s="479" t="n"/>
      <c r="D1" s="479" t="n"/>
      <c r="E1" s="480" t="n"/>
    </row>
    <row r="2" ht="19.5" customHeight="1" thickBot="1">
      <c r="A2" s="45" t="inlineStr">
        <is>
          <t>PLATAFORMA</t>
        </is>
      </c>
      <c r="B2" s="46" t="inlineStr">
        <is>
          <t>CÓDIGO</t>
        </is>
      </c>
      <c r="C2" s="46" t="inlineStr">
        <is>
          <t>PRODUCTO</t>
        </is>
      </c>
      <c r="D2" s="47" t="inlineStr">
        <is>
          <t>Precio de facturación</t>
        </is>
      </c>
      <c r="E2" s="48" t="inlineStr">
        <is>
          <t>Precio de venta</t>
        </is>
      </c>
    </row>
    <row r="3">
      <c r="A3" s="74" t="inlineStr">
        <is>
          <t>AMAZON PRIME</t>
        </is>
      </c>
      <c r="B3" s="73" t="n">
        <v>503635000200</v>
      </c>
      <c r="C3" s="59" t="inlineStr">
        <is>
          <t>COLAGENO EN POLVO 210 GR</t>
        </is>
      </c>
      <c r="D3" s="482" t="n">
        <v>315.52</v>
      </c>
      <c r="E3" s="482">
        <f>D3*1.16</f>
        <v/>
      </c>
    </row>
    <row r="4">
      <c r="A4" s="53" t="inlineStr">
        <is>
          <t>AMAZON PRIME</t>
        </is>
      </c>
      <c r="B4" s="54" t="n">
        <v>503635000606</v>
      </c>
      <c r="C4" s="55" t="inlineStr">
        <is>
          <t>COLAGENO TIPO II 90 CAPS</t>
        </is>
      </c>
      <c r="D4" s="482" t="n">
        <v>916.38</v>
      </c>
      <c r="E4" s="482">
        <f>D4*1.16</f>
        <v/>
      </c>
    </row>
    <row r="5">
      <c r="A5" s="53" t="inlineStr">
        <is>
          <t>AMAZON PRIME</t>
        </is>
      </c>
      <c r="B5" s="54" t="n">
        <v>503635005100</v>
      </c>
      <c r="C5" s="55" t="inlineStr">
        <is>
          <t>COLAGENO TIPO II 30 CAPS</t>
        </is>
      </c>
      <c r="D5" s="482" t="n">
        <v>456.04</v>
      </c>
      <c r="E5" s="482">
        <f>D5*1.16</f>
        <v/>
      </c>
    </row>
    <row r="6">
      <c r="A6" s="53" t="inlineStr">
        <is>
          <t>AMAZON PRIME</t>
        </is>
      </c>
      <c r="B6" s="54" t="n">
        <v>503635000300</v>
      </c>
      <c r="C6" s="55" t="inlineStr">
        <is>
          <t>GLUCOSAMINA / CONDROITINA BOVINO 410 TAB</t>
        </is>
      </c>
      <c r="D6" s="482" t="n">
        <v>812.9299999999999</v>
      </c>
      <c r="E6" s="482">
        <f>D6*1.16</f>
        <v/>
      </c>
    </row>
    <row r="7">
      <c r="A7" s="53" t="inlineStr">
        <is>
          <t>AMAZON PRIME</t>
        </is>
      </c>
      <c r="B7" s="54" t="n">
        <v>503635001600</v>
      </c>
      <c r="C7" s="55" t="inlineStr">
        <is>
          <t>JUSTBIOH 110 GOMAS</t>
        </is>
      </c>
      <c r="D7" s="482" t="n">
        <v>381.9</v>
      </c>
      <c r="E7" s="482">
        <f>D7*1.16</f>
        <v/>
      </c>
    </row>
    <row r="8">
      <c r="A8" s="53" t="inlineStr">
        <is>
          <t>AMAZON PRIME</t>
        </is>
      </c>
      <c r="B8" s="54" t="n">
        <v>503635002000</v>
      </c>
      <c r="C8" s="55" t="inlineStr">
        <is>
          <t>JUSTBIOTICS 110 GOMAS</t>
        </is>
      </c>
      <c r="D8" s="482" t="n">
        <v>352.59</v>
      </c>
      <c r="E8" s="482">
        <f>D8*1.16</f>
        <v/>
      </c>
    </row>
    <row r="9">
      <c r="A9" s="53" t="inlineStr">
        <is>
          <t>AMAZON PRIME</t>
        </is>
      </c>
      <c r="B9" s="54" t="n">
        <v>503635001700</v>
      </c>
      <c r="C9" s="55" t="inlineStr">
        <is>
          <t>JUSTCOLLAGEN 111 GOMAS</t>
        </is>
      </c>
      <c r="D9" s="482" t="n">
        <v>336.21</v>
      </c>
      <c r="E9" s="482">
        <f>D9*1.16</f>
        <v/>
      </c>
    </row>
    <row r="10">
      <c r="A10" s="53" t="inlineStr">
        <is>
          <t>AMAZON PRIME</t>
        </is>
      </c>
      <c r="B10" s="54" t="n">
        <v>503635001800</v>
      </c>
      <c r="C10" s="55" t="inlineStr">
        <is>
          <t>JUSTOMEGA-3 110 GOMAS</t>
        </is>
      </c>
      <c r="D10" s="482" t="n">
        <v>336.21</v>
      </c>
      <c r="E10" s="482">
        <f>D10*1.16</f>
        <v/>
      </c>
    </row>
    <row r="11">
      <c r="A11" s="53" t="inlineStr">
        <is>
          <t>AMAZON PRIME</t>
        </is>
      </c>
      <c r="B11" s="54" t="n">
        <v>503635002600</v>
      </c>
      <c r="C11" s="55" t="inlineStr">
        <is>
          <t>JUSTCOLLAGEN 180 TABS</t>
        </is>
      </c>
      <c r="D11" s="482" t="n">
        <v>340.52</v>
      </c>
      <c r="E11" s="482">
        <f>D11*1.16</f>
        <v/>
      </c>
    </row>
    <row r="12">
      <c r="A12" s="53" t="inlineStr">
        <is>
          <t>AMAZON PRIME</t>
        </is>
      </c>
      <c r="B12" s="54" t="n">
        <v>503635000705</v>
      </c>
      <c r="C12" s="55" t="inlineStr">
        <is>
          <t>JUSTFX 120 CAPS</t>
        </is>
      </c>
      <c r="D12" s="482" t="n">
        <v>437.07</v>
      </c>
      <c r="E12" s="482">
        <f>D12*1.16</f>
        <v/>
      </c>
    </row>
    <row r="13">
      <c r="A13" s="53" t="inlineStr">
        <is>
          <t>AMAZON PRIME</t>
        </is>
      </c>
      <c r="B13" s="54" t="n">
        <v>503635001301</v>
      </c>
      <c r="C13" s="55" t="inlineStr">
        <is>
          <t>PROBIOTICOS GUMMYCARE 60 GOMAS</t>
        </is>
      </c>
      <c r="D13" s="482" t="n">
        <v>312.93</v>
      </c>
      <c r="E13" s="482">
        <f>D13*1.16</f>
        <v/>
      </c>
    </row>
    <row r="14">
      <c r="A14" s="53" t="inlineStr">
        <is>
          <t>AMAZON PRIME</t>
        </is>
      </c>
      <c r="B14" s="57" t="n">
        <v>503635004800</v>
      </c>
      <c r="C14" s="58" t="inlineStr">
        <is>
          <t>KIT COLÁGENO 90 + BIOTINA 30 (ONPACK)</t>
        </is>
      </c>
      <c r="D14" s="482" t="n">
        <v>257.7586206896552</v>
      </c>
      <c r="E14" s="482">
        <f>D14*1.16</f>
        <v/>
      </c>
    </row>
    <row r="15">
      <c r="A15" s="53" t="inlineStr">
        <is>
          <t>AMAZON PRIME</t>
        </is>
      </c>
      <c r="B15" s="57" t="n">
        <v>503635004300</v>
      </c>
      <c r="C15" s="58" t="inlineStr">
        <is>
          <t>OMEGA 3 120 GOMAS</t>
        </is>
      </c>
      <c r="D15" s="482" t="n">
        <v>241.38</v>
      </c>
      <c r="E15" s="482">
        <f>D15*1.16</f>
        <v/>
      </c>
    </row>
    <row r="16">
      <c r="A16" s="53" t="inlineStr">
        <is>
          <t>AMAZON PRIME</t>
        </is>
      </c>
      <c r="B16" s="57" t="n">
        <v>503635004400</v>
      </c>
      <c r="C16" s="58" t="inlineStr">
        <is>
          <t>PROBIÓTICOS + FIBRA 120 GOMAS</t>
        </is>
      </c>
      <c r="D16" s="482" t="n">
        <v>241.38</v>
      </c>
      <c r="E16" s="482">
        <f>D16*1.16</f>
        <v/>
      </c>
    </row>
    <row r="17">
      <c r="A17" s="53" t="inlineStr">
        <is>
          <t>AMAZON PRIME</t>
        </is>
      </c>
      <c r="B17" s="57" t="n">
        <v>503635004600</v>
      </c>
      <c r="C17" s="58" t="inlineStr">
        <is>
          <t>BIOTINA 120 GOMAS</t>
        </is>
      </c>
      <c r="D17" s="482" t="n">
        <v>241.38</v>
      </c>
      <c r="E17" s="482">
        <f>D17*1.16</f>
        <v/>
      </c>
    </row>
    <row r="18">
      <c r="A18" s="53" t="inlineStr">
        <is>
          <t>AMAZON PRIME</t>
        </is>
      </c>
      <c r="B18" s="54" t="n">
        <v>503635003900</v>
      </c>
      <c r="C18" s="55" t="inlineStr">
        <is>
          <t>JUSTCETRUX 180</t>
        </is>
      </c>
      <c r="D18" s="482" t="n">
        <v>171.55</v>
      </c>
      <c r="E18" s="482">
        <f>D18*1.16</f>
        <v/>
      </c>
    </row>
    <row r="19" ht="15" customHeight="1" thickBot="1">
      <c r="A19" s="155" t="inlineStr">
        <is>
          <t>AMAZON PRIME</t>
        </is>
      </c>
      <c r="B19" s="154" t="n">
        <v>503635005400</v>
      </c>
      <c r="C19" s="153" t="inlineStr">
        <is>
          <t>JUSTOLFOCUS 90 CAPS</t>
        </is>
      </c>
      <c r="D19" s="546">
        <f>E19/1.16</f>
        <v/>
      </c>
      <c r="E19" s="546" t="n">
        <v>493</v>
      </c>
    </row>
    <row r="20">
      <c r="A20" s="164" t="inlineStr">
        <is>
          <t>AMAZON PRIME</t>
        </is>
      </c>
      <c r="B20" s="150" t="n">
        <v>500034000100</v>
      </c>
      <c r="C20" s="149" t="inlineStr">
        <is>
          <t>ARISTOCAPS RB 30 CAPS</t>
        </is>
      </c>
      <c r="D20" s="547" t="n">
        <v>174</v>
      </c>
      <c r="E20" s="547" t="n">
        <v>174</v>
      </c>
    </row>
    <row r="21" ht="15" customHeight="1" thickBot="1">
      <c r="A21" s="72" t="inlineStr">
        <is>
          <t>AMAZON PRIME</t>
        </is>
      </c>
      <c r="B21" s="67" t="n">
        <v>500034000300</v>
      </c>
      <c r="C21" s="66" t="inlineStr">
        <is>
          <t xml:space="preserve">ARISTOCAPS RB 90 CAPS </t>
        </is>
      </c>
      <c r="D21" s="548" t="n">
        <v>399</v>
      </c>
      <c r="E21" s="548" t="n">
        <v>399</v>
      </c>
    </row>
    <row r="22">
      <c r="A22" s="163" t="inlineStr">
        <is>
          <t>AMAZON VENDEDOR</t>
        </is>
      </c>
      <c r="B22" s="162" t="n">
        <v>503635000200</v>
      </c>
      <c r="C22" s="161" t="inlineStr">
        <is>
          <t>COLAGENO EN POLVO 210 GR</t>
        </is>
      </c>
      <c r="D22" s="549" t="n">
        <v>315.52</v>
      </c>
      <c r="E22" s="550">
        <f>D22*1.16</f>
        <v/>
      </c>
    </row>
    <row r="23">
      <c r="A23" s="53" t="inlineStr">
        <is>
          <t>AMAZON VENDEDOR</t>
        </is>
      </c>
      <c r="B23" s="54" t="n">
        <v>503635000606</v>
      </c>
      <c r="C23" s="55" t="inlineStr">
        <is>
          <t>COLAGENO TIPO II 90 CAPS</t>
        </is>
      </c>
      <c r="D23" s="482" t="n">
        <v>916.38</v>
      </c>
      <c r="E23" s="482">
        <f>D23*1.16</f>
        <v/>
      </c>
    </row>
    <row r="24">
      <c r="A24" s="53" t="inlineStr">
        <is>
          <t>AMAZON VENDEDOR</t>
        </is>
      </c>
      <c r="B24" s="54" t="n">
        <v>503635005100</v>
      </c>
      <c r="C24" s="55" t="inlineStr">
        <is>
          <t>COLAGENO TIPO II 30 CAPS</t>
        </is>
      </c>
      <c r="D24" s="482" t="n">
        <v>456.04</v>
      </c>
      <c r="E24" s="482">
        <f>D24*1.16</f>
        <v/>
      </c>
    </row>
    <row r="25">
      <c r="A25" s="53" t="inlineStr">
        <is>
          <t>AMAZON VENDEDOR</t>
        </is>
      </c>
      <c r="B25" s="54" t="n">
        <v>503635000300</v>
      </c>
      <c r="C25" s="55" t="inlineStr">
        <is>
          <t>GLUCOSAMINA / CONDROITINA BOVINO 410 TAB</t>
        </is>
      </c>
      <c r="D25" s="482" t="n">
        <v>812.9299999999999</v>
      </c>
      <c r="E25" s="482">
        <f>D25*1.16</f>
        <v/>
      </c>
    </row>
    <row r="26">
      <c r="A26" s="53" t="inlineStr">
        <is>
          <t>AMAZON VENDEDOR</t>
        </is>
      </c>
      <c r="B26" s="54" t="n">
        <v>503635002000</v>
      </c>
      <c r="C26" s="55" t="inlineStr">
        <is>
          <t>JUSTBIOTICS 110 GOMAS</t>
        </is>
      </c>
      <c r="D26" s="482" t="n">
        <v>352.59</v>
      </c>
      <c r="E26" s="482">
        <f>D26*1.16</f>
        <v/>
      </c>
    </row>
    <row r="27">
      <c r="A27" s="53" t="inlineStr">
        <is>
          <t>AMAZON VENDEDOR</t>
        </is>
      </c>
      <c r="B27" s="54" t="n">
        <v>503635003900</v>
      </c>
      <c r="C27" s="55" t="inlineStr">
        <is>
          <t>JUSTCETRUX 180</t>
        </is>
      </c>
      <c r="D27" s="482" t="n">
        <v>171.55</v>
      </c>
      <c r="E27" s="482">
        <f>D27*1.16</f>
        <v/>
      </c>
    </row>
    <row r="28">
      <c r="A28" s="53" t="inlineStr">
        <is>
          <t>AMAZON VENDEDOR</t>
        </is>
      </c>
      <c r="B28" s="54" t="n">
        <v>503635001700</v>
      </c>
      <c r="C28" s="55" t="inlineStr">
        <is>
          <t>JUSTCOLLAGEN 111 GOMAS</t>
        </is>
      </c>
      <c r="D28" s="482" t="n">
        <v>336.21</v>
      </c>
      <c r="E28" s="482">
        <f>D28*1.16</f>
        <v/>
      </c>
    </row>
    <row r="29">
      <c r="A29" s="53" t="inlineStr">
        <is>
          <t>AMAZON VENDEDOR</t>
        </is>
      </c>
      <c r="B29" s="54" t="n">
        <v>503635001600</v>
      </c>
      <c r="C29" s="55" t="inlineStr">
        <is>
          <t>JUSTBIOH 110 GOMAS</t>
        </is>
      </c>
      <c r="D29" s="482" t="n">
        <v>381.9</v>
      </c>
      <c r="E29" s="482">
        <f>D29*1.16</f>
        <v/>
      </c>
    </row>
    <row r="30">
      <c r="A30" s="53" t="inlineStr">
        <is>
          <t>AMAZON VENDEDOR</t>
        </is>
      </c>
      <c r="B30" s="54" t="n">
        <v>503635002600</v>
      </c>
      <c r="C30" s="55" t="inlineStr">
        <is>
          <t>JUSTCOLLAGEN 180 TABS</t>
        </is>
      </c>
      <c r="D30" s="482" t="n">
        <v>340.52</v>
      </c>
      <c r="E30" s="482">
        <f>D30*1.16</f>
        <v/>
      </c>
    </row>
    <row r="31">
      <c r="A31" s="53" t="inlineStr">
        <is>
          <t>AMAZON VENDEDOR</t>
        </is>
      </c>
      <c r="B31" s="54" t="n">
        <v>503635000501</v>
      </c>
      <c r="C31" s="55" t="inlineStr">
        <is>
          <t>JUSTCOLLAGEN 90 TABS</t>
        </is>
      </c>
      <c r="D31" s="482" t="n">
        <v>212.93</v>
      </c>
      <c r="E31" s="482">
        <f>D31*1.16</f>
        <v/>
      </c>
    </row>
    <row r="32">
      <c r="A32" s="53" t="inlineStr">
        <is>
          <t>AMAZON VENDEDOR</t>
        </is>
      </c>
      <c r="B32" s="54" t="n">
        <v>503635000705</v>
      </c>
      <c r="C32" s="55" t="inlineStr">
        <is>
          <t>JUSTFX 120 CAPS</t>
        </is>
      </c>
      <c r="D32" s="482" t="n">
        <v>437.07</v>
      </c>
      <c r="E32" s="482">
        <f>D32*1.16</f>
        <v/>
      </c>
    </row>
    <row r="33">
      <c r="A33" s="53" t="inlineStr">
        <is>
          <t>AMAZON VENDEDOR</t>
        </is>
      </c>
      <c r="B33" s="54" t="n">
        <v>503635000900</v>
      </c>
      <c r="C33" s="55" t="inlineStr">
        <is>
          <t>JUSTFX 90 CAPS</t>
        </is>
      </c>
      <c r="D33" s="482" t="n">
        <v>336.21</v>
      </c>
      <c r="E33" s="482">
        <f>D33*1.16</f>
        <v/>
      </c>
    </row>
    <row r="34">
      <c r="A34" s="53" t="inlineStr">
        <is>
          <t>AMAZON VENDEDOR</t>
        </is>
      </c>
      <c r="B34" s="54" t="n">
        <v>503635001800</v>
      </c>
      <c r="C34" s="55" t="inlineStr">
        <is>
          <t>JUSTOMEGA-3 110 GOMAS</t>
        </is>
      </c>
      <c r="D34" s="482" t="n">
        <v>336.21</v>
      </c>
      <c r="E34" s="482">
        <f>D34*1.16</f>
        <v/>
      </c>
    </row>
    <row r="35">
      <c r="A35" s="53" t="inlineStr">
        <is>
          <t>AMAZON VENDEDOR</t>
        </is>
      </c>
      <c r="B35" s="54" t="n">
        <v>503635001301</v>
      </c>
      <c r="C35" s="55" t="inlineStr">
        <is>
          <t>PROBIOTICOS GUMMYCARE 60 GOMAS</t>
        </is>
      </c>
      <c r="D35" s="482" t="n">
        <v>312.93</v>
      </c>
      <c r="E35" s="482">
        <f>D35*1.16</f>
        <v/>
      </c>
    </row>
    <row r="36">
      <c r="A36" s="53" t="inlineStr">
        <is>
          <t>AMAZON VENDEDOR</t>
        </is>
      </c>
      <c r="B36" s="57" t="n">
        <v>503635004500</v>
      </c>
      <c r="C36" s="58" t="inlineStr">
        <is>
          <t>COLÁGENO+BIOTINA 120 GOMAS</t>
        </is>
      </c>
      <c r="D36" s="482" t="n">
        <v>240.52</v>
      </c>
      <c r="E36" s="482">
        <f>D36*1.16</f>
        <v/>
      </c>
    </row>
    <row r="37">
      <c r="A37" s="53" t="inlineStr">
        <is>
          <t>AMAZON VENDEDOR</t>
        </is>
      </c>
      <c r="B37" s="57" t="n">
        <v>503635005400</v>
      </c>
      <c r="C37" s="58" t="inlineStr">
        <is>
          <t>JUSTOLFOCUS 90 CAPS</t>
        </is>
      </c>
      <c r="D37" s="482">
        <f>E37/1.16</f>
        <v/>
      </c>
      <c r="E37" s="482" t="n">
        <v>493</v>
      </c>
    </row>
    <row r="38">
      <c r="A38" s="68" t="inlineStr">
        <is>
          <t>AMAZON VENDEDOR</t>
        </is>
      </c>
      <c r="B38" s="67" t="n">
        <v>500034000100</v>
      </c>
      <c r="C38" s="66" t="inlineStr">
        <is>
          <t>ARISTOCAPS RB 30 CAPS</t>
        </is>
      </c>
      <c r="D38" s="548" t="n">
        <v>174</v>
      </c>
      <c r="E38" s="548" t="n">
        <v>174</v>
      </c>
    </row>
    <row r="39" ht="15" customHeight="1" thickBot="1">
      <c r="A39" s="71" t="inlineStr">
        <is>
          <t>AMAZON VENDEDOR</t>
        </is>
      </c>
      <c r="B39" s="63" t="n">
        <v>500034000300</v>
      </c>
      <c r="C39" s="70" t="inlineStr">
        <is>
          <t xml:space="preserve">ARISTOCAPS RB 90 CAPS </t>
        </is>
      </c>
      <c r="D39" s="551" t="n">
        <v>399</v>
      </c>
      <c r="E39" s="551" t="n">
        <v>399</v>
      </c>
    </row>
    <row r="40">
      <c r="A40" s="159" t="inlineStr">
        <is>
          <t>MERCADO LIBRE</t>
        </is>
      </c>
      <c r="B40" s="158" t="n">
        <v>503635000200</v>
      </c>
      <c r="C40" s="157" t="inlineStr">
        <is>
          <t>COLAGENO EN POLVO 210 GR</t>
        </is>
      </c>
      <c r="D40" s="550" t="n">
        <v>326.72</v>
      </c>
      <c r="E40" s="550">
        <f>D40*1.16</f>
        <v/>
      </c>
    </row>
    <row r="41">
      <c r="A41" s="53" t="inlineStr">
        <is>
          <t>MERCADO LIBRE</t>
        </is>
      </c>
      <c r="B41" s="54" t="n">
        <v>503635000606</v>
      </c>
      <c r="C41" s="55" t="inlineStr">
        <is>
          <t>COLAGENO TIPO II 90 CAPS</t>
        </is>
      </c>
      <c r="D41" s="482" t="n">
        <v>916.38</v>
      </c>
      <c r="E41" s="482">
        <f>D41*1.16</f>
        <v/>
      </c>
    </row>
    <row r="42">
      <c r="A42" s="53" t="inlineStr">
        <is>
          <t>MERCADO LIBRE</t>
        </is>
      </c>
      <c r="B42" s="54" t="n">
        <v>503635005100</v>
      </c>
      <c r="C42" s="55" t="inlineStr">
        <is>
          <t>COLAGENO TIPO II 30 CAPS</t>
        </is>
      </c>
      <c r="D42" s="482" t="n">
        <v>471.55</v>
      </c>
      <c r="E42" s="482">
        <f>D42*1.16</f>
        <v/>
      </c>
    </row>
    <row r="43">
      <c r="A43" s="53" t="inlineStr">
        <is>
          <t>MERCADO LIBRE</t>
        </is>
      </c>
      <c r="B43" s="54" t="n">
        <v>503635000300</v>
      </c>
      <c r="C43" s="55" t="inlineStr">
        <is>
          <t>GLUCOSAMINA / CONDROITINA BOVINO 410 TAB</t>
        </is>
      </c>
      <c r="D43" s="482" t="n">
        <v>812.9299999999999</v>
      </c>
      <c r="E43" s="482">
        <f>D43*1.16</f>
        <v/>
      </c>
      <c r="G43" s="486" t="n"/>
      <c r="H43" s="146" t="n"/>
    </row>
    <row r="44">
      <c r="A44" s="53" t="inlineStr">
        <is>
          <t>MERCADO LIBRE</t>
        </is>
      </c>
      <c r="B44" s="54" t="n">
        <v>503635000100</v>
      </c>
      <c r="C44" s="55" t="inlineStr">
        <is>
          <t>GLUCOSAMINA / CONDROITINA TIBURON 240 TA</t>
        </is>
      </c>
      <c r="D44" s="482" t="n">
        <v>514.66</v>
      </c>
      <c r="E44" s="482">
        <f>D44*1.16</f>
        <v/>
      </c>
    </row>
    <row r="45">
      <c r="A45" s="53" t="inlineStr">
        <is>
          <t>MERCADO LIBRE</t>
        </is>
      </c>
      <c r="B45" s="54" t="n">
        <v>503635001600</v>
      </c>
      <c r="C45" s="55" t="inlineStr">
        <is>
          <t>JUSTBIOH 110 GOMAS</t>
        </is>
      </c>
      <c r="D45" s="482" t="n">
        <v>381.9</v>
      </c>
      <c r="E45" s="482">
        <f>D45*1.16</f>
        <v/>
      </c>
    </row>
    <row r="46">
      <c r="A46" s="53" t="inlineStr">
        <is>
          <t>MERCADO LIBRE</t>
        </is>
      </c>
      <c r="B46" s="54" t="n">
        <v>503635002000</v>
      </c>
      <c r="C46" s="55" t="inlineStr">
        <is>
          <t>JUSTBIOTICS 110 GOMAS</t>
        </is>
      </c>
      <c r="D46" s="482" t="n">
        <v>352.59</v>
      </c>
      <c r="E46" s="482">
        <f>D46*1.16</f>
        <v/>
      </c>
    </row>
    <row r="47">
      <c r="A47" s="53" t="inlineStr">
        <is>
          <t>MERCADO LIBRE</t>
        </is>
      </c>
      <c r="B47" s="54" t="n">
        <v>503635003900</v>
      </c>
      <c r="C47" s="55" t="inlineStr">
        <is>
          <t>JUSTCETRUX 180</t>
        </is>
      </c>
      <c r="D47" s="552" t="n">
        <v>171.55</v>
      </c>
      <c r="E47" s="482">
        <f>D47*1.16</f>
        <v/>
      </c>
    </row>
    <row r="48">
      <c r="A48" s="53" t="inlineStr">
        <is>
          <t>MERCADO LIBRE</t>
        </is>
      </c>
      <c r="B48" s="54" t="n">
        <v>503635003700</v>
      </c>
      <c r="C48" s="55" t="inlineStr">
        <is>
          <t>JUSTCETRUX 60</t>
        </is>
      </c>
      <c r="D48" s="552" t="n">
        <v>83.62</v>
      </c>
      <c r="E48" s="482">
        <f>D48*1.16</f>
        <v/>
      </c>
    </row>
    <row r="49">
      <c r="A49" s="53" t="inlineStr">
        <is>
          <t>MERCADO LIBRE</t>
        </is>
      </c>
      <c r="B49" s="54" t="n">
        <v>503635001700</v>
      </c>
      <c r="C49" s="55" t="inlineStr">
        <is>
          <t>JUSTCOLLAGEN 111 GOMAS</t>
        </is>
      </c>
      <c r="D49" s="482" t="n">
        <v>336.21</v>
      </c>
      <c r="E49" s="482">
        <f>D49*1.16</f>
        <v/>
      </c>
    </row>
    <row r="50">
      <c r="A50" s="53" t="inlineStr">
        <is>
          <t>MERCADO LIBRE</t>
        </is>
      </c>
      <c r="B50" s="54" t="n">
        <v>503635002600</v>
      </c>
      <c r="C50" s="55" t="inlineStr">
        <is>
          <t>JUSTCOLLAGEN 180 TABS</t>
        </is>
      </c>
      <c r="D50" s="482" t="n">
        <v>340.52</v>
      </c>
      <c r="E50" s="482">
        <f>D50*1.16</f>
        <v/>
      </c>
    </row>
    <row r="51">
      <c r="A51" s="53" t="inlineStr">
        <is>
          <t>MERCADO LIBRE</t>
        </is>
      </c>
      <c r="B51" s="54" t="n">
        <v>503635000501</v>
      </c>
      <c r="C51" s="55" t="inlineStr">
        <is>
          <t>JUSTCOLLAGEN 90 TABS</t>
        </is>
      </c>
      <c r="D51" s="482" t="n">
        <v>220</v>
      </c>
      <c r="E51" s="482">
        <f>D51*1.16</f>
        <v/>
      </c>
    </row>
    <row r="52">
      <c r="A52" s="53" t="inlineStr">
        <is>
          <t>MERCADO LIBRE</t>
        </is>
      </c>
      <c r="B52" s="54" t="n">
        <v>503635000705</v>
      </c>
      <c r="C52" s="55" t="inlineStr">
        <is>
          <t>JUSTFX 120 CAPS</t>
        </is>
      </c>
      <c r="D52" s="482" t="n">
        <v>437.07</v>
      </c>
      <c r="E52" s="482">
        <f>D52*1.16</f>
        <v/>
      </c>
    </row>
    <row r="53">
      <c r="A53" s="53" t="inlineStr">
        <is>
          <t>MERCADO LIBRE</t>
        </is>
      </c>
      <c r="B53" s="54" t="n">
        <v>503635000900</v>
      </c>
      <c r="C53" s="55" t="inlineStr">
        <is>
          <t>JUSTFX 90 CAPS</t>
        </is>
      </c>
      <c r="D53" s="482" t="n">
        <v>343.97</v>
      </c>
      <c r="E53" s="482">
        <f>D53*1.16</f>
        <v/>
      </c>
    </row>
    <row r="54">
      <c r="A54" s="53" t="inlineStr">
        <is>
          <t>MERCADO LIBRE</t>
        </is>
      </c>
      <c r="B54" s="54" t="n">
        <v>503635003700</v>
      </c>
      <c r="C54" s="55" t="inlineStr">
        <is>
          <t>JUSTCALOSTRO  30 CAPS</t>
        </is>
      </c>
      <c r="D54" s="482" t="n">
        <v>162.9310344827586</v>
      </c>
      <c r="E54" s="482">
        <f>D54*1.16</f>
        <v/>
      </c>
    </row>
    <row r="55">
      <c r="A55" s="53" t="inlineStr">
        <is>
          <t>MERCADO LIBRE</t>
        </is>
      </c>
      <c r="B55" s="54" t="n">
        <v>503635001800</v>
      </c>
      <c r="C55" s="55" t="inlineStr">
        <is>
          <t>JUSTOMEGA-3 110 GOMAS</t>
        </is>
      </c>
      <c r="D55" s="482" t="n">
        <v>336.21</v>
      </c>
      <c r="E55" s="482">
        <f>D55*1.16</f>
        <v/>
      </c>
      <c r="F55" s="486" t="n"/>
    </row>
    <row r="56">
      <c r="A56" s="53" t="inlineStr">
        <is>
          <t>MERCADO LIBRE</t>
        </is>
      </c>
      <c r="B56" s="54" t="n">
        <v>503635001301</v>
      </c>
      <c r="C56" s="55" t="inlineStr">
        <is>
          <t>PROBIOTICOS GUMMYCARE 60 GOMAS</t>
        </is>
      </c>
      <c r="D56" s="482" t="n">
        <v>323.28</v>
      </c>
      <c r="E56" s="482">
        <f>D56*1.16</f>
        <v/>
      </c>
    </row>
    <row r="57">
      <c r="A57" s="53" t="inlineStr">
        <is>
          <t>MERCADO LIBRE</t>
        </is>
      </c>
      <c r="B57" s="57" t="n">
        <v>503635003700</v>
      </c>
      <c r="C57" s="58" t="inlineStr">
        <is>
          <t>ONPACK COLÁGENO 90 + BIOTINA 30</t>
        </is>
      </c>
      <c r="D57" s="482" t="n">
        <v>257.7586206896552</v>
      </c>
      <c r="E57" s="482">
        <f>D57*1.16</f>
        <v/>
      </c>
    </row>
    <row r="58">
      <c r="A58" s="53" t="inlineStr">
        <is>
          <t>MERCADO LIBRE</t>
        </is>
      </c>
      <c r="B58" s="57" t="n">
        <v>503635004500</v>
      </c>
      <c r="C58" s="58" t="inlineStr">
        <is>
          <t>COLÁGENO+BIOTINA 120 GOMAS</t>
        </is>
      </c>
      <c r="D58" s="482" t="n">
        <v>248.28</v>
      </c>
      <c r="E58" s="482">
        <f>D58*1.16</f>
        <v/>
      </c>
    </row>
    <row r="59">
      <c r="A59" s="53" t="inlineStr">
        <is>
          <t>MERCADO LIBRE</t>
        </is>
      </c>
      <c r="B59" s="57" t="n">
        <v>503635004400</v>
      </c>
      <c r="C59" s="58" t="inlineStr">
        <is>
          <t>PROBIÓTICOS + FIBRA 120 GOMAS</t>
        </is>
      </c>
      <c r="D59" s="482" t="n">
        <v>249.14</v>
      </c>
      <c r="E59" s="482">
        <f>D59*1.16</f>
        <v/>
      </c>
    </row>
    <row r="60">
      <c r="A60" s="53" t="inlineStr">
        <is>
          <t>MERCADO LIBRE</t>
        </is>
      </c>
      <c r="B60" s="57" t="n">
        <v>503635004600</v>
      </c>
      <c r="C60" s="58" t="inlineStr">
        <is>
          <t>BIOTINA 120 GOMAS</t>
        </is>
      </c>
      <c r="D60" s="482" t="n">
        <v>249.14</v>
      </c>
      <c r="E60" s="482">
        <f>D60*1.16</f>
        <v/>
      </c>
    </row>
    <row r="61">
      <c r="A61" s="53" t="inlineStr">
        <is>
          <t>MERCADO LIBRE</t>
        </is>
      </c>
      <c r="B61" s="57" t="n">
        <v>503635004300</v>
      </c>
      <c r="C61" s="58" t="inlineStr">
        <is>
          <t>OMEGA 3 120 GOMAS</t>
        </is>
      </c>
      <c r="D61" s="482" t="n">
        <v>249.14</v>
      </c>
      <c r="E61" s="482">
        <f>D61*1.16</f>
        <v/>
      </c>
    </row>
    <row r="62">
      <c r="A62" s="53" t="inlineStr">
        <is>
          <t>MERCADO LIBRE</t>
        </is>
      </c>
      <c r="B62" s="57" t="n">
        <v>503635005400</v>
      </c>
      <c r="C62" s="58" t="inlineStr">
        <is>
          <t>JUSTOLFOCUS 90 CAPS</t>
        </is>
      </c>
      <c r="D62" s="482">
        <f>E62/1.16</f>
        <v/>
      </c>
      <c r="E62" s="482" t="n">
        <v>493</v>
      </c>
    </row>
    <row r="63">
      <c r="A63" s="53" t="inlineStr">
        <is>
          <t>MERCADO LIBRE</t>
        </is>
      </c>
      <c r="B63" s="54" t="n"/>
      <c r="C63" s="55" t="inlineStr">
        <is>
          <t>KIT COLÁGENO (-10%)</t>
        </is>
      </c>
      <c r="D63" s="482" t="n">
        <v>903.105</v>
      </c>
      <c r="E63" s="482">
        <f>D63*1.16</f>
        <v/>
      </c>
    </row>
    <row r="64">
      <c r="A64" s="53" t="inlineStr">
        <is>
          <t>MERCADO LIBRE</t>
        </is>
      </c>
      <c r="B64" s="54" t="n"/>
      <c r="C64" s="55" t="inlineStr">
        <is>
          <t>KIT DEPORTE (-10%)</t>
        </is>
      </c>
      <c r="D64" s="482" t="n">
        <v>1075.356</v>
      </c>
      <c r="E64" s="482">
        <f>D64*1.16</f>
        <v/>
      </c>
    </row>
    <row r="65">
      <c r="A65" s="53" t="inlineStr">
        <is>
          <t>MERCADO LIBRE</t>
        </is>
      </c>
      <c r="B65" s="57" t="n"/>
      <c r="C65" s="58" t="inlineStr">
        <is>
          <t>KIT BEST SELLER (-10%)</t>
        </is>
      </c>
      <c r="D65" s="482" t="n">
        <v>699.831</v>
      </c>
      <c r="E65" s="482">
        <f>D65*1.16</f>
        <v/>
      </c>
    </row>
    <row r="66">
      <c r="A66" s="53" t="inlineStr">
        <is>
          <t>MERCADO LIBRE</t>
        </is>
      </c>
      <c r="B66" s="57" t="n"/>
      <c r="C66" s="58" t="inlineStr">
        <is>
          <t>KIT BEST SELLER 90´S MINI (-10%)</t>
        </is>
      </c>
      <c r="D66" s="482" t="n">
        <v>507.5730000000001</v>
      </c>
      <c r="E66" s="482">
        <f>D66*1.16</f>
        <v/>
      </c>
    </row>
    <row r="67">
      <c r="A67" s="53" t="inlineStr">
        <is>
          <t>MERCADO LIBRE</t>
        </is>
      </c>
      <c r="B67" s="57" t="n"/>
      <c r="C67" s="58" t="inlineStr">
        <is>
          <t>KIT ESPECIAL (-10%)</t>
        </is>
      </c>
      <c r="D67" s="482" t="n">
        <v>1168.452</v>
      </c>
      <c r="E67" s="482">
        <f>D67*1.16</f>
        <v/>
      </c>
    </row>
    <row r="68">
      <c r="A68" s="53" t="inlineStr">
        <is>
          <t>MERCADO LIBRE</t>
        </is>
      </c>
      <c r="B68" s="57" t="n"/>
      <c r="C68" s="58" t="inlineStr">
        <is>
          <t>KIT INMUNE (-10%)</t>
        </is>
      </c>
      <c r="D68" s="482" t="n">
        <v>911.6397931034483</v>
      </c>
      <c r="E68" s="482">
        <f>D68*1.16</f>
        <v/>
      </c>
    </row>
    <row r="69" ht="15" customHeight="1" thickBot="1">
      <c r="A69" s="155" t="inlineStr">
        <is>
          <t>MERCADO LIBRE</t>
        </is>
      </c>
      <c r="B69" s="154" t="n"/>
      <c r="C69" s="153" t="inlineStr">
        <is>
          <t>KIT GOMAS GRANDES (-10%)</t>
        </is>
      </c>
      <c r="D69" s="546" t="n">
        <v>922.509</v>
      </c>
      <c r="E69" s="546">
        <f>D69*1.16</f>
        <v/>
      </c>
    </row>
    <row r="70">
      <c r="A70" s="151" t="inlineStr">
        <is>
          <t>MERCADO LIBRE</t>
        </is>
      </c>
      <c r="B70" s="150" t="n">
        <v>500034000100</v>
      </c>
      <c r="C70" s="149" t="inlineStr">
        <is>
          <t>ARISTOCAPS RB 30 CAPS</t>
        </is>
      </c>
      <c r="D70" s="547" t="n">
        <v>174</v>
      </c>
      <c r="E70" s="547" t="n">
        <v>174</v>
      </c>
    </row>
    <row r="71" ht="15" customHeight="1" thickBot="1">
      <c r="A71" s="71" t="inlineStr">
        <is>
          <t>MERCADO LIBRE</t>
        </is>
      </c>
      <c r="B71" s="63" t="n">
        <v>500034000300</v>
      </c>
      <c r="C71" s="70" t="inlineStr">
        <is>
          <t xml:space="preserve">ARISTOCAPS RB 90 CAPS </t>
        </is>
      </c>
      <c r="D71" s="551" t="n">
        <v>399</v>
      </c>
      <c r="E71" s="551" t="n">
        <v>399</v>
      </c>
    </row>
    <row r="72">
      <c r="A72" s="49" t="inlineStr">
        <is>
          <t>WEB</t>
        </is>
      </c>
      <c r="B72" s="50" t="n">
        <v>503635000200</v>
      </c>
      <c r="C72" s="51" t="inlineStr">
        <is>
          <t>COLAGENO EN POLVO 210 GR</t>
        </is>
      </c>
      <c r="D72" s="482" t="n">
        <v>300.86</v>
      </c>
      <c r="E72" s="482">
        <f>D72*1.16</f>
        <v/>
      </c>
    </row>
    <row r="73">
      <c r="A73" s="53" t="inlineStr">
        <is>
          <t>WEB</t>
        </is>
      </c>
      <c r="B73" s="54" t="n">
        <v>503635000606</v>
      </c>
      <c r="C73" s="55" t="inlineStr">
        <is>
          <t>COLAGENO TIPO II 90 CAPS</t>
        </is>
      </c>
      <c r="D73" s="482" t="n">
        <v>912.9299999999999</v>
      </c>
      <c r="E73" s="482">
        <f>D73*1.16</f>
        <v/>
      </c>
    </row>
    <row r="74">
      <c r="A74" s="53" t="inlineStr">
        <is>
          <t>WEB</t>
        </is>
      </c>
      <c r="B74" s="54" t="n">
        <v>503635005100</v>
      </c>
      <c r="C74" s="55" t="inlineStr">
        <is>
          <t>COLAGENO TIPO II 30 CAPS</t>
        </is>
      </c>
      <c r="D74" s="482" t="n">
        <v>438.79</v>
      </c>
      <c r="E74" s="482">
        <f>D74*1.16</f>
        <v/>
      </c>
    </row>
    <row r="75">
      <c r="A75" s="53" t="inlineStr">
        <is>
          <t>WEB</t>
        </is>
      </c>
      <c r="B75" s="54" t="n">
        <v>503635001000</v>
      </c>
      <c r="C75" s="55" t="inlineStr">
        <is>
          <t>GLUCOSAMINA / CONDROITINA TIBURON 160 TA</t>
        </is>
      </c>
      <c r="D75" s="482" t="n">
        <v>430.17</v>
      </c>
      <c r="E75" s="482">
        <f>D75*1.16</f>
        <v/>
      </c>
      <c r="H75" s="146" t="n"/>
    </row>
    <row r="76">
      <c r="A76" s="53" t="inlineStr">
        <is>
          <t>WEB</t>
        </is>
      </c>
      <c r="B76" s="54" t="n">
        <v>503635000100</v>
      </c>
      <c r="C76" s="55" t="inlineStr">
        <is>
          <t>GLUCOSAMINA / CONDROITINA TIBURON 240 TA</t>
        </is>
      </c>
      <c r="D76" s="482" t="n">
        <v>512.9299999999999</v>
      </c>
      <c r="E76" s="482">
        <f>D76*1.16</f>
        <v/>
      </c>
    </row>
    <row r="77">
      <c r="A77" s="53" t="inlineStr">
        <is>
          <t>WEB</t>
        </is>
      </c>
      <c r="B77" s="54" t="n">
        <v>503635000300</v>
      </c>
      <c r="C77" s="55" t="inlineStr">
        <is>
          <t>GLUCOSAMINA / CONDROITINA BOVINO 410 TAB</t>
        </is>
      </c>
      <c r="D77" s="482">
        <f>E77/1.16</f>
        <v/>
      </c>
      <c r="E77" s="482" t="n">
        <v>940</v>
      </c>
    </row>
    <row r="78">
      <c r="A78" s="53" t="inlineStr">
        <is>
          <t>WEB</t>
        </is>
      </c>
      <c r="B78" s="54" t="n">
        <v>503635001600</v>
      </c>
      <c r="C78" s="55" t="inlineStr">
        <is>
          <t>JUSTBIOH 110 GOMAS</t>
        </is>
      </c>
      <c r="D78" s="482" t="n">
        <v>380.17</v>
      </c>
      <c r="E78" s="482">
        <f>D78*1.16</f>
        <v/>
      </c>
    </row>
    <row r="79">
      <c r="A79" s="53" t="inlineStr">
        <is>
          <t>WEB</t>
        </is>
      </c>
      <c r="B79" s="54" t="n">
        <v>503635002000</v>
      </c>
      <c r="C79" s="55" t="inlineStr">
        <is>
          <t>JUSTBIOTICS 110 GOMAS</t>
        </is>
      </c>
      <c r="D79" s="482" t="n">
        <v>350.86</v>
      </c>
      <c r="E79" s="482">
        <f>D79*1.16</f>
        <v/>
      </c>
    </row>
    <row r="80">
      <c r="A80" s="53" t="inlineStr">
        <is>
          <t>WEB</t>
        </is>
      </c>
      <c r="B80" s="54" t="n">
        <v>503635003900</v>
      </c>
      <c r="C80" s="55" t="inlineStr">
        <is>
          <t>JUSTCETRUX 180</t>
        </is>
      </c>
      <c r="D80" s="552" t="n">
        <v>171.55</v>
      </c>
      <c r="E80" s="482">
        <f>D80*1.16</f>
        <v/>
      </c>
    </row>
    <row r="81">
      <c r="A81" s="53" t="inlineStr">
        <is>
          <t>WEB</t>
        </is>
      </c>
      <c r="B81" s="54" t="n">
        <v>503635003700</v>
      </c>
      <c r="C81" s="55" t="inlineStr">
        <is>
          <t>JUSTCETRUX 60</t>
        </is>
      </c>
      <c r="D81" s="552" t="n">
        <v>76.72</v>
      </c>
      <c r="E81" s="482">
        <f>D81*1.16</f>
        <v/>
      </c>
    </row>
    <row r="82">
      <c r="A82" s="53" t="inlineStr">
        <is>
          <t>WEB</t>
        </is>
      </c>
      <c r="B82" s="54" t="n">
        <v>503635001700</v>
      </c>
      <c r="C82" s="55" t="inlineStr">
        <is>
          <t>JUSTCOLLAGEN 111 GOMAS</t>
        </is>
      </c>
      <c r="D82" s="482">
        <f>E82/1.16</f>
        <v/>
      </c>
      <c r="E82" s="482" t="n">
        <v>389</v>
      </c>
    </row>
    <row r="83">
      <c r="A83" s="53" t="inlineStr">
        <is>
          <t>WEB</t>
        </is>
      </c>
      <c r="B83" s="54" t="n">
        <v>503635002600</v>
      </c>
      <c r="C83" s="55" t="inlineStr">
        <is>
          <t>JUSTCOLLAGEN 180 TABS</t>
        </is>
      </c>
      <c r="D83" s="482" t="n">
        <v>340.52</v>
      </c>
      <c r="E83" s="482">
        <f>D83*1.16</f>
        <v/>
      </c>
    </row>
    <row r="84">
      <c r="A84" s="53" t="inlineStr">
        <is>
          <t>WEB</t>
        </is>
      </c>
      <c r="B84" s="54" t="n">
        <v>503635000501</v>
      </c>
      <c r="C84" s="55" t="inlineStr">
        <is>
          <t>JUSTCOLLAGEN 90 TABS</t>
        </is>
      </c>
      <c r="D84" s="482">
        <f>E84/1.16</f>
        <v/>
      </c>
      <c r="E84" s="482" t="n">
        <v>220</v>
      </c>
    </row>
    <row r="85">
      <c r="A85" s="53" t="inlineStr">
        <is>
          <t>WEB</t>
        </is>
      </c>
      <c r="B85" s="54" t="n">
        <v>503635000705</v>
      </c>
      <c r="C85" s="55" t="inlineStr">
        <is>
          <t>JUSTFX 120 CAPS</t>
        </is>
      </c>
      <c r="D85" s="482">
        <f>E85/1.16</f>
        <v/>
      </c>
      <c r="E85" s="482" t="n">
        <v>505</v>
      </c>
    </row>
    <row r="86">
      <c r="A86" s="53" t="inlineStr">
        <is>
          <t>WEB</t>
        </is>
      </c>
      <c r="B86" s="54" t="n">
        <v>503635000900</v>
      </c>
      <c r="C86" s="55" t="inlineStr">
        <is>
          <t>JUSTFX 90 CAPS</t>
        </is>
      </c>
      <c r="D86" s="482" t="n">
        <v>318.1</v>
      </c>
      <c r="E86" s="482">
        <f>D86*1.16</f>
        <v/>
      </c>
    </row>
    <row r="87">
      <c r="A87" s="53" t="inlineStr">
        <is>
          <t>WEB</t>
        </is>
      </c>
      <c r="B87" s="54" t="n">
        <v>503635003700</v>
      </c>
      <c r="C87" s="55" t="inlineStr">
        <is>
          <t>JUSTCALOSTRO  30 CAPS</t>
        </is>
      </c>
      <c r="D87" s="482" t="n">
        <v>143.9655172413793</v>
      </c>
      <c r="E87" s="482">
        <f>D87*1.16</f>
        <v/>
      </c>
    </row>
    <row r="88">
      <c r="A88" s="53" t="inlineStr">
        <is>
          <t>WEB</t>
        </is>
      </c>
      <c r="B88" s="54" t="n">
        <v>503635001800</v>
      </c>
      <c r="C88" s="55" t="inlineStr">
        <is>
          <t>JUSTOMEGA-3 110 GOMAS</t>
        </is>
      </c>
      <c r="D88" s="482" t="n">
        <v>336.21</v>
      </c>
      <c r="E88" s="482">
        <f>D88*1.16</f>
        <v/>
      </c>
    </row>
    <row r="89">
      <c r="A89" s="53" t="inlineStr">
        <is>
          <t>WEB</t>
        </is>
      </c>
      <c r="B89" s="54" t="n">
        <v>503635001301</v>
      </c>
      <c r="C89" s="55" t="inlineStr">
        <is>
          <t>PROBIOTICOS GUMMYCARE 60 GOMAS</t>
        </is>
      </c>
      <c r="D89" s="482" t="n">
        <v>300.86</v>
      </c>
      <c r="E89" s="482">
        <f>D89*1.16</f>
        <v/>
      </c>
    </row>
    <row r="90">
      <c r="A90" s="53" t="inlineStr">
        <is>
          <t>WEB</t>
        </is>
      </c>
      <c r="B90" s="57" t="n">
        <v>503635004500</v>
      </c>
      <c r="C90" s="58" t="inlineStr">
        <is>
          <t>COLÁGENO+BIOTINA 120 GOMAS</t>
        </is>
      </c>
      <c r="D90" s="482" t="n">
        <v>230.17</v>
      </c>
      <c r="E90" s="482">
        <f>D90*1.16</f>
        <v/>
      </c>
    </row>
    <row r="91">
      <c r="A91" s="53" t="inlineStr">
        <is>
          <t>WEB</t>
        </is>
      </c>
      <c r="B91" s="57" t="n">
        <v>503635004400</v>
      </c>
      <c r="C91" s="58" t="inlineStr">
        <is>
          <t>PROBIÓTICOS + FIBRA 120 GOMAS</t>
        </is>
      </c>
      <c r="D91" s="482" t="n">
        <v>230.17</v>
      </c>
      <c r="E91" s="482">
        <f>D91*1.16</f>
        <v/>
      </c>
    </row>
    <row r="92">
      <c r="A92" s="53" t="inlineStr">
        <is>
          <t>WEB</t>
        </is>
      </c>
      <c r="B92" s="57" t="n">
        <v>503635004300</v>
      </c>
      <c r="C92" s="58" t="inlineStr">
        <is>
          <t>OMEGA 3 120 GOMAS</t>
        </is>
      </c>
      <c r="D92" s="482" t="n">
        <v>230.17</v>
      </c>
      <c r="E92" s="482">
        <f>D92*1.16</f>
        <v/>
      </c>
    </row>
    <row r="93">
      <c r="A93" s="53" t="inlineStr">
        <is>
          <t>WEB</t>
        </is>
      </c>
      <c r="B93" s="57" t="n">
        <v>503635004600</v>
      </c>
      <c r="C93" s="58" t="inlineStr">
        <is>
          <t>BIOTINA 120 GOMAS</t>
        </is>
      </c>
      <c r="D93" s="482" t="n">
        <v>230.17</v>
      </c>
      <c r="E93" s="482">
        <f>D93*1.16</f>
        <v/>
      </c>
    </row>
    <row r="94">
      <c r="A94" s="53" t="inlineStr">
        <is>
          <t>WEB</t>
        </is>
      </c>
      <c r="B94" s="57" t="n">
        <v>503635005400</v>
      </c>
      <c r="C94" s="58" t="inlineStr">
        <is>
          <t>JUSTOLFOCUS 90 CAPS</t>
        </is>
      </c>
      <c r="D94" s="482">
        <f>E94/1.16</f>
        <v/>
      </c>
      <c r="E94" s="482" t="n">
        <v>489</v>
      </c>
    </row>
    <row r="95">
      <c r="A95" s="53" t="inlineStr">
        <is>
          <t>WEB</t>
        </is>
      </c>
      <c r="B95" s="54" t="n"/>
      <c r="C95" s="55" t="inlineStr">
        <is>
          <t>SISTEMA BELLEZA (-10%)</t>
        </is>
      </c>
      <c r="D95" s="482" t="n">
        <v>879.0523448275862</v>
      </c>
      <c r="E95" s="482">
        <f>D95*1.16</f>
        <v/>
      </c>
    </row>
    <row r="96">
      <c r="A96" s="53" t="inlineStr">
        <is>
          <t>WEB</t>
        </is>
      </c>
      <c r="B96" s="54" t="n"/>
      <c r="C96" s="55" t="inlineStr">
        <is>
          <t>SISTEMA DEPORTE (-10%)</t>
        </is>
      </c>
      <c r="D96" s="482" t="n">
        <v>1050.516</v>
      </c>
      <c r="E96" s="482">
        <f>D96*1.16</f>
        <v/>
      </c>
    </row>
    <row r="97">
      <c r="A97" s="53" t="inlineStr">
        <is>
          <t>WEB</t>
        </is>
      </c>
      <c r="B97" s="54" t="n"/>
      <c r="C97" s="55" t="inlineStr">
        <is>
          <t>SISTEMA BEST SELLER (-10%)</t>
        </is>
      </c>
      <c r="D97" s="482" t="n">
        <v>698.2783448275861</v>
      </c>
      <c r="E97" s="482">
        <f>D97*1.16</f>
        <v/>
      </c>
    </row>
    <row r="98" ht="15" customHeight="1" thickBot="1">
      <c r="A98" s="155" t="inlineStr">
        <is>
          <t>WEB</t>
        </is>
      </c>
      <c r="B98" s="154" t="n"/>
      <c r="C98" s="153" t="inlineStr">
        <is>
          <t>KIT MOTÍVATE (-10%)</t>
        </is>
      </c>
      <c r="D98" s="546" t="n">
        <v>990.7736896551725</v>
      </c>
      <c r="E98" s="546">
        <f>D98*1.16</f>
        <v/>
      </c>
    </row>
    <row r="99">
      <c r="A99" s="151" t="inlineStr">
        <is>
          <t>WEB</t>
        </is>
      </c>
      <c r="B99" s="150" t="n">
        <v>500034000100</v>
      </c>
      <c r="C99" s="149" t="inlineStr">
        <is>
          <t>ARISTOCAPS RB 30 CAPS</t>
        </is>
      </c>
      <c r="D99" s="547" t="n">
        <v>174</v>
      </c>
      <c r="E99" s="547" t="n">
        <v>174</v>
      </c>
    </row>
    <row r="100" ht="15" customHeight="1" thickBot="1">
      <c r="A100" s="64" t="inlineStr">
        <is>
          <t>WEB</t>
        </is>
      </c>
      <c r="B100" s="63" t="n">
        <v>500034000300</v>
      </c>
      <c r="C100" s="62" t="inlineStr">
        <is>
          <t xml:space="preserve">ARISTOCAPS RB 90 CAPS </t>
        </is>
      </c>
      <c r="D100" s="553" t="n">
        <v>399</v>
      </c>
      <c r="E100" s="553" t="n">
        <v>399</v>
      </c>
    </row>
    <row r="101">
      <c r="E101" s="486" t="n"/>
    </row>
    <row r="102">
      <c r="E102" s="486" t="n"/>
    </row>
    <row r="103">
      <c r="E103" s="486" t="n"/>
    </row>
    <row r="106">
      <c r="G106" s="141" t="n"/>
    </row>
    <row r="107">
      <c r="G107" s="486" t="n"/>
    </row>
  </sheetData>
  <autoFilter ref="A2:E100"/>
  <mergeCells count="1">
    <mergeCell ref="A1:E1"/>
  </mergeCells>
  <conditionalFormatting sqref="D47:D48">
    <cfRule type="cellIs" priority="2" operator="greaterThan" dxfId="0">
      <formula>C47</formula>
    </cfRule>
  </conditionalFormatting>
  <conditionalFormatting sqref="D80:D81">
    <cfRule type="cellIs" priority="6" operator="greaterThan" dxfId="0">
      <formula>C80</formula>
    </cfRule>
  </conditionalFormatting>
  <conditionalFormatting sqref="D20:E21">
    <cfRule type="cellIs" priority="4" operator="greaterThan" dxfId="0">
      <formula>C20</formula>
    </cfRule>
  </conditionalFormatting>
  <conditionalFormatting sqref="D38:E39">
    <cfRule type="cellIs" priority="3" operator="greaterThan" dxfId="0">
      <formula>C38</formula>
    </cfRule>
  </conditionalFormatting>
  <conditionalFormatting sqref="D70:E71">
    <cfRule type="cellIs" priority="1" operator="greaterThan" dxfId="0">
      <formula>C70</formula>
    </cfRule>
  </conditionalFormatting>
  <conditionalFormatting sqref="D99:E99">
    <cfRule type="cellIs" priority="5" operator="greaterThan" dxfId="0">
      <formula>C99</formula>
    </cfRule>
  </conditionalFormatting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5"/>
  <sheetViews>
    <sheetView zoomScale="110" zoomScaleNormal="110" workbookViewId="0">
      <pane ySplit="2" topLeftCell="A50" activePane="bottomLeft" state="frozen"/>
      <selection pane="bottomLeft" activeCell="B50" sqref="B50"/>
    </sheetView>
  </sheetViews>
  <sheetFormatPr baseColWidth="10" defaultColWidth="11.453125" defaultRowHeight="14.5"/>
  <cols>
    <col width="16.453125" bestFit="1" customWidth="1" min="1" max="1"/>
    <col width="45.54296875" bestFit="1" customWidth="1" min="2" max="2"/>
    <col width="8.81640625" customWidth="1" min="3" max="3"/>
    <col width="10" customWidth="1" min="4" max="4"/>
    <col width="11.54296875" customWidth="1" min="5" max="6"/>
    <col width="6.81640625" customWidth="1" min="7" max="7"/>
  </cols>
  <sheetData>
    <row r="1" ht="15.65" customHeight="1" thickBot="1">
      <c r="A1" s="478" t="inlineStr">
        <is>
          <t>LISTADO DE PRECIOS E-COMM</t>
        </is>
      </c>
      <c r="B1" s="479" t="n"/>
      <c r="C1" s="479" t="n"/>
      <c r="D1" s="480" t="n"/>
      <c r="E1" s="382" t="inlineStr">
        <is>
          <t>-30% Buen Fin</t>
        </is>
      </c>
      <c r="F1" s="481" t="n"/>
    </row>
    <row r="2" ht="19.5" customHeight="1" thickBot="1">
      <c r="A2" s="45" t="inlineStr">
        <is>
          <t>PLATAFORMA</t>
        </is>
      </c>
      <c r="B2" s="46" t="inlineStr">
        <is>
          <t>PRODUCTO</t>
        </is>
      </c>
      <c r="C2" s="47" t="inlineStr">
        <is>
          <t>Precio de facturación</t>
        </is>
      </c>
      <c r="D2" s="48" t="inlineStr">
        <is>
          <t>Precio de venta</t>
        </is>
      </c>
      <c r="E2" s="218" t="inlineStr">
        <is>
          <t>Precio de facturación</t>
        </is>
      </c>
      <c r="F2" s="217" t="inlineStr">
        <is>
          <t>Precio de venta</t>
        </is>
      </c>
    </row>
    <row r="3">
      <c r="A3" s="74" t="inlineStr">
        <is>
          <t>AMAZON PRIME</t>
        </is>
      </c>
      <c r="B3" s="59" t="inlineStr">
        <is>
          <t>COLAGENO EN POLVO 210 GR</t>
        </is>
      </c>
      <c r="C3" s="482">
        <f>D3/1.16</f>
        <v/>
      </c>
      <c r="D3" s="482" t="n">
        <v>385</v>
      </c>
      <c r="E3" s="485">
        <f>F3/1.16</f>
        <v/>
      </c>
      <c r="F3" s="485">
        <f>D3*0.7</f>
        <v/>
      </c>
    </row>
    <row r="4">
      <c r="A4" s="53" t="inlineStr">
        <is>
          <t>AMAZON PRIME</t>
        </is>
      </c>
      <c r="B4" s="55" t="inlineStr">
        <is>
          <t>COLAGENO TIPO II 90 CAPS</t>
        </is>
      </c>
      <c r="C4" s="482">
        <f>D4/1.16</f>
        <v/>
      </c>
      <c r="D4" s="482" t="n">
        <v>997</v>
      </c>
      <c r="E4" s="485">
        <f>F4/1.16</f>
        <v/>
      </c>
      <c r="F4" s="485">
        <f>D4*0.7</f>
        <v/>
      </c>
      <c r="H4" s="486" t="n"/>
    </row>
    <row r="5">
      <c r="A5" s="53" t="inlineStr">
        <is>
          <t>AMAZON PRIME</t>
        </is>
      </c>
      <c r="B5" s="55" t="inlineStr">
        <is>
          <t>GLUCOSAMINA / CONDROITINA BOVINO 410 TAB</t>
        </is>
      </c>
      <c r="C5" s="482">
        <f>D5/1.16</f>
        <v/>
      </c>
      <c r="D5" s="482" t="n">
        <v>943</v>
      </c>
      <c r="E5" s="485">
        <f>F5/1.16</f>
        <v/>
      </c>
      <c r="F5" s="485">
        <f>D5*0.7</f>
        <v/>
      </c>
    </row>
    <row r="6">
      <c r="A6" s="53" t="inlineStr">
        <is>
          <t>AMAZON PRIME</t>
        </is>
      </c>
      <c r="B6" s="55" t="inlineStr">
        <is>
          <t>JUSTBIOH 110 GOMAS</t>
        </is>
      </c>
      <c r="C6" s="482">
        <f>D6/1.16</f>
        <v/>
      </c>
      <c r="D6" s="482" t="n">
        <v>443</v>
      </c>
      <c r="E6" s="485">
        <f>F6/1.16</f>
        <v/>
      </c>
      <c r="F6" s="485">
        <f>D6*0.7</f>
        <v/>
      </c>
    </row>
    <row r="7">
      <c r="A7" s="53" t="inlineStr">
        <is>
          <t>AMAZON PRIME</t>
        </is>
      </c>
      <c r="B7" s="55" t="inlineStr">
        <is>
          <t>JUSTBIOTICS 110 GOMAS</t>
        </is>
      </c>
      <c r="C7" s="482">
        <f>D7/1.16</f>
        <v/>
      </c>
      <c r="D7" s="482" t="n">
        <v>409</v>
      </c>
      <c r="E7" s="485">
        <f>F7/1.16</f>
        <v/>
      </c>
      <c r="F7" s="485">
        <f>D7*0.7</f>
        <v/>
      </c>
    </row>
    <row r="8">
      <c r="A8" s="53" t="inlineStr">
        <is>
          <t>AMAZON PRIME</t>
        </is>
      </c>
      <c r="B8" s="55" t="inlineStr">
        <is>
          <t>JUSTCOLLAGEN 111 GOMAS</t>
        </is>
      </c>
      <c r="C8" s="482">
        <f>D8/1.16</f>
        <v/>
      </c>
      <c r="D8" s="482" t="n">
        <v>390</v>
      </c>
      <c r="E8" s="485">
        <f>F8/1.16</f>
        <v/>
      </c>
      <c r="F8" s="485">
        <f>D8*0.7</f>
        <v/>
      </c>
    </row>
    <row r="9">
      <c r="A9" s="53" t="inlineStr">
        <is>
          <t>AMAZON PRIME</t>
        </is>
      </c>
      <c r="B9" s="55" t="inlineStr">
        <is>
          <t>JUSTOMEGA-3 110 GOMAS</t>
        </is>
      </c>
      <c r="C9" s="482">
        <f>D9/1.16</f>
        <v/>
      </c>
      <c r="D9" s="482" t="n">
        <v>390</v>
      </c>
      <c r="E9" s="485">
        <f>F9/1.16</f>
        <v/>
      </c>
      <c r="F9" s="485">
        <f>D9*0.7</f>
        <v/>
      </c>
    </row>
    <row r="10">
      <c r="A10" s="53" t="inlineStr">
        <is>
          <t>AMAZON PRIME</t>
        </is>
      </c>
      <c r="B10" s="55" t="inlineStr">
        <is>
          <t>JUSTCOLLAGEN 180 TABS</t>
        </is>
      </c>
      <c r="C10" s="482">
        <f>D10/1.16</f>
        <v/>
      </c>
      <c r="D10" s="482" t="n">
        <v>395</v>
      </c>
      <c r="E10" s="485">
        <f>F10/1.16</f>
        <v/>
      </c>
      <c r="F10" s="485">
        <f>D10*0.7</f>
        <v/>
      </c>
    </row>
    <row r="11">
      <c r="A11" s="53" t="inlineStr">
        <is>
          <t>AMAZON PRIME</t>
        </is>
      </c>
      <c r="B11" s="55" t="inlineStr">
        <is>
          <t>JUSTFX 120 CAPS</t>
        </is>
      </c>
      <c r="C11" s="482">
        <f>D11/1.16</f>
        <v/>
      </c>
      <c r="D11" s="482" t="n">
        <v>507</v>
      </c>
      <c r="E11" s="485">
        <f>F11/1.16</f>
        <v/>
      </c>
      <c r="F11" s="485">
        <f>D11*0.7</f>
        <v/>
      </c>
    </row>
    <row r="12">
      <c r="A12" s="53" t="inlineStr">
        <is>
          <t>AMAZON PRIME</t>
        </is>
      </c>
      <c r="B12" s="55" t="inlineStr">
        <is>
          <t>PROBIOTICOS GUMMYCARE 60 GOMAS</t>
        </is>
      </c>
      <c r="C12" s="482">
        <f>D12/1.16</f>
        <v/>
      </c>
      <c r="D12" s="482" t="n">
        <v>363</v>
      </c>
      <c r="E12" s="485">
        <f>F12/1.16</f>
        <v/>
      </c>
      <c r="F12" s="485">
        <f>D12*0.7</f>
        <v/>
      </c>
    </row>
    <row r="13">
      <c r="A13" s="53" t="inlineStr">
        <is>
          <t>AMAZON PRIME</t>
        </is>
      </c>
      <c r="B13" s="58" t="inlineStr">
        <is>
          <t>COLÁGENO+BIOTINA 120 GOMAS</t>
        </is>
      </c>
      <c r="C13" s="482">
        <f>D13/1.16</f>
        <v/>
      </c>
      <c r="D13" s="482" t="n">
        <v>280</v>
      </c>
      <c r="E13" s="485">
        <f>F13/1.16</f>
        <v/>
      </c>
      <c r="F13" s="485">
        <f>D13*0.7</f>
        <v/>
      </c>
    </row>
    <row r="14">
      <c r="A14" s="53" t="inlineStr">
        <is>
          <t>AMAZON PRIME</t>
        </is>
      </c>
      <c r="B14" s="58" t="inlineStr">
        <is>
          <t>PROBIÓTICOS+FIBRA 120 GOMAS</t>
        </is>
      </c>
      <c r="C14" s="482">
        <f>D14/1.16</f>
        <v/>
      </c>
      <c r="D14" s="482" t="n">
        <v>280</v>
      </c>
      <c r="E14" s="485">
        <f>F14/1.16</f>
        <v/>
      </c>
      <c r="F14" s="485">
        <f>D14*0.7</f>
        <v/>
      </c>
    </row>
    <row r="15">
      <c r="A15" s="53" t="inlineStr">
        <is>
          <t>AMAZON PRIME</t>
        </is>
      </c>
      <c r="B15" s="58" t="inlineStr">
        <is>
          <t>OMEGA3 DHA 120 GOMAS</t>
        </is>
      </c>
      <c r="C15" s="482">
        <f>D15/1.16</f>
        <v/>
      </c>
      <c r="D15" s="482" t="n">
        <v>280</v>
      </c>
      <c r="E15" s="485">
        <f>F15/1.16</f>
        <v/>
      </c>
      <c r="F15" s="485">
        <f>D15*0.7</f>
        <v/>
      </c>
    </row>
    <row r="16" ht="15" customFormat="1" customHeight="1" s="199" thickBot="1">
      <c r="A16" s="203" t="inlineStr">
        <is>
          <t>AMAZON PRIME</t>
        </is>
      </c>
      <c r="B16" s="216" t="inlineStr">
        <is>
          <t>BIOTINA 120 GOMAS</t>
        </is>
      </c>
      <c r="C16" s="487">
        <f>D16/1.16</f>
        <v/>
      </c>
      <c r="D16" s="487" t="n">
        <v>280</v>
      </c>
      <c r="E16" s="489">
        <f>F16/1.16</f>
        <v/>
      </c>
      <c r="F16" s="489">
        <f>D16*0.7</f>
        <v/>
      </c>
    </row>
    <row r="17">
      <c r="A17" s="215" t="inlineStr">
        <is>
          <t>AMAZON VENDEDOR</t>
        </is>
      </c>
      <c r="B17" s="214" t="inlineStr">
        <is>
          <t>COLAGENO EN POLVO 210 GR</t>
        </is>
      </c>
      <c r="C17" s="490">
        <f>D17/1.16</f>
        <v/>
      </c>
      <c r="D17" s="482" t="n">
        <v>366</v>
      </c>
      <c r="E17" s="485">
        <f>F17/1.16</f>
        <v/>
      </c>
      <c r="F17" s="485">
        <f>D17*0.7</f>
        <v/>
      </c>
    </row>
    <row r="18">
      <c r="A18" s="210" t="inlineStr">
        <is>
          <t>AMAZON VENDEDOR</t>
        </is>
      </c>
      <c r="B18" s="213" t="inlineStr">
        <is>
          <t>COLAGENO TIPO II 90 CAPS</t>
        </is>
      </c>
      <c r="C18" s="490">
        <f>D18/1.16</f>
        <v/>
      </c>
      <c r="D18" s="482" t="n">
        <v>1063</v>
      </c>
      <c r="E18" s="485">
        <f>F18/1.16</f>
        <v/>
      </c>
      <c r="F18" s="485">
        <f>D18*0.7</f>
        <v/>
      </c>
    </row>
    <row r="19">
      <c r="A19" s="210" t="inlineStr">
        <is>
          <t>AMAZON VENDEDOR</t>
        </is>
      </c>
      <c r="B19" s="213" t="inlineStr">
        <is>
          <t>COLAGENO TIPO II 30 CAPS</t>
        </is>
      </c>
      <c r="C19" s="490">
        <f>D19/1.16</f>
        <v/>
      </c>
      <c r="D19" s="482" t="n">
        <v>529.01</v>
      </c>
      <c r="E19" s="485">
        <f>F19/1.16</f>
        <v/>
      </c>
      <c r="F19" s="485">
        <f>D19*0.7</f>
        <v/>
      </c>
    </row>
    <row r="20">
      <c r="A20" s="210" t="inlineStr">
        <is>
          <t>AMAZON VENDEDOR</t>
        </is>
      </c>
      <c r="B20" s="213" t="inlineStr">
        <is>
          <t>GLUCOSAMINA / CONDROITINA BOVINO 410 TAB</t>
        </is>
      </c>
      <c r="C20" s="490">
        <f>D20/1.16</f>
        <v/>
      </c>
      <c r="D20" s="482" t="n">
        <v>943</v>
      </c>
      <c r="E20" s="485">
        <f>F20/1.16</f>
        <v/>
      </c>
      <c r="F20" s="485">
        <f>D20*0.7</f>
        <v/>
      </c>
    </row>
    <row r="21">
      <c r="A21" s="210" t="inlineStr">
        <is>
          <t>AMAZON VENDEDOR</t>
        </is>
      </c>
      <c r="B21" s="213" t="inlineStr">
        <is>
          <t>JUSTBIOTICS 110 GOMAS</t>
        </is>
      </c>
      <c r="C21" s="490">
        <f>D21/1.16</f>
        <v/>
      </c>
      <c r="D21" s="482" t="n">
        <v>409</v>
      </c>
      <c r="E21" s="485">
        <f>F21/1.16</f>
        <v/>
      </c>
      <c r="F21" s="485">
        <f>D21*0.7</f>
        <v/>
      </c>
    </row>
    <row r="22">
      <c r="A22" s="210" t="inlineStr">
        <is>
          <t>AMAZON VENDEDOR</t>
        </is>
      </c>
      <c r="B22" s="213" t="inlineStr">
        <is>
          <t>JUSTCETRUX 180</t>
        </is>
      </c>
      <c r="C22" s="490">
        <f>D22/1.16</f>
        <v/>
      </c>
      <c r="D22" s="482" t="n">
        <v>199</v>
      </c>
      <c r="E22" s="485">
        <f>F22/1.16</f>
        <v/>
      </c>
      <c r="F22" s="485">
        <f>D22*0.7</f>
        <v/>
      </c>
    </row>
    <row r="23">
      <c r="A23" s="210" t="inlineStr">
        <is>
          <t>AMAZON VENDEDOR</t>
        </is>
      </c>
      <c r="B23" s="213" t="inlineStr">
        <is>
          <t>JUSTCOLLAGEN 111 GOMAS</t>
        </is>
      </c>
      <c r="C23" s="490">
        <f>D23/1.16</f>
        <v/>
      </c>
      <c r="D23" s="482" t="n">
        <v>390</v>
      </c>
      <c r="E23" s="485">
        <f>F23/1.16</f>
        <v/>
      </c>
      <c r="F23" s="485">
        <f>D23*0.7</f>
        <v/>
      </c>
    </row>
    <row r="24">
      <c r="A24" s="210" t="inlineStr">
        <is>
          <t>AMAZON VENDEDOR</t>
        </is>
      </c>
      <c r="B24" s="213" t="inlineStr">
        <is>
          <t>JUSTBIOH 110 GOMAS</t>
        </is>
      </c>
      <c r="C24" s="490">
        <f>D24/1.16</f>
        <v/>
      </c>
      <c r="D24" s="482" t="n">
        <v>443</v>
      </c>
      <c r="E24" s="485">
        <f>F24/1.16</f>
        <v/>
      </c>
      <c r="F24" s="485">
        <f>D24*0.7</f>
        <v/>
      </c>
    </row>
    <row r="25">
      <c r="A25" s="210" t="inlineStr">
        <is>
          <t>AMAZON VENDEDOR</t>
        </is>
      </c>
      <c r="B25" s="213" t="inlineStr">
        <is>
          <t>JUSTCOLLAGEN 180 TABS</t>
        </is>
      </c>
      <c r="C25" s="490">
        <f>D25/1.16</f>
        <v/>
      </c>
      <c r="D25" s="482" t="n">
        <v>395</v>
      </c>
      <c r="E25" s="485">
        <f>F25/1.16</f>
        <v/>
      </c>
      <c r="F25" s="485">
        <f>D25*0.7</f>
        <v/>
      </c>
    </row>
    <row r="26">
      <c r="A26" s="210" t="inlineStr">
        <is>
          <t>AMAZON VENDEDOR</t>
        </is>
      </c>
      <c r="B26" s="213" t="inlineStr">
        <is>
          <t>JUSTCOLLAGEN 90 TABS</t>
        </is>
      </c>
      <c r="C26" s="490">
        <f>D26/1.16</f>
        <v/>
      </c>
      <c r="D26" s="482" t="n">
        <v>247</v>
      </c>
      <c r="E26" s="485">
        <f>F26/1.16</f>
        <v/>
      </c>
      <c r="F26" s="485">
        <f>D26*0.7</f>
        <v/>
      </c>
    </row>
    <row r="27">
      <c r="A27" s="210" t="inlineStr">
        <is>
          <t>AMAZON VENDEDOR</t>
        </is>
      </c>
      <c r="B27" s="213" t="inlineStr">
        <is>
          <t>JUSTFX 120 CAPS</t>
        </is>
      </c>
      <c r="C27" s="490">
        <f>D27/1.16</f>
        <v/>
      </c>
      <c r="D27" s="482" t="n">
        <v>507</v>
      </c>
      <c r="E27" s="485">
        <f>F27/1.16</f>
        <v/>
      </c>
      <c r="F27" s="485">
        <f>D27*0.7</f>
        <v/>
      </c>
    </row>
    <row r="28">
      <c r="A28" s="210" t="inlineStr">
        <is>
          <t>AMAZON VENDEDOR</t>
        </is>
      </c>
      <c r="B28" s="213" t="inlineStr">
        <is>
          <t>JUSTFX 90 CAPS</t>
        </is>
      </c>
      <c r="C28" s="490">
        <f>D28/1.16</f>
        <v/>
      </c>
      <c r="D28" s="482" t="n">
        <v>390</v>
      </c>
      <c r="E28" s="485">
        <f>F28/1.16</f>
        <v/>
      </c>
      <c r="F28" s="485">
        <f>D28*0.7</f>
        <v/>
      </c>
    </row>
    <row r="29">
      <c r="A29" s="210" t="inlineStr">
        <is>
          <t>AMAZON VENDEDOR</t>
        </is>
      </c>
      <c r="B29" s="213" t="inlineStr">
        <is>
          <t>JUSTOMEGA-3 110 GOMAS</t>
        </is>
      </c>
      <c r="C29" s="490">
        <f>D29/1.16</f>
        <v/>
      </c>
      <c r="D29" s="482" t="n">
        <v>390</v>
      </c>
      <c r="E29" s="485">
        <f>F29/1.16</f>
        <v/>
      </c>
      <c r="F29" s="485">
        <f>D29*0.7</f>
        <v/>
      </c>
    </row>
    <row r="30">
      <c r="A30" s="210" t="inlineStr">
        <is>
          <t>AMAZON VENDEDOR</t>
        </is>
      </c>
      <c r="B30" s="213" t="inlineStr">
        <is>
          <t>JUSTCETRUX 180</t>
        </is>
      </c>
      <c r="C30" s="490">
        <f>D30/1.16</f>
        <v/>
      </c>
      <c r="D30" s="482" t="n">
        <v>199</v>
      </c>
      <c r="E30" s="485">
        <f>F30/1.16</f>
        <v/>
      </c>
      <c r="F30" s="485">
        <f>D30*0.7</f>
        <v/>
      </c>
    </row>
    <row r="31">
      <c r="A31" s="210" t="inlineStr">
        <is>
          <t>AMAZON VENDEDOR</t>
        </is>
      </c>
      <c r="B31" s="213" t="inlineStr">
        <is>
          <t>PROBIOTICOS GUMMYCARE 60 GOMAS</t>
        </is>
      </c>
      <c r="C31" s="490">
        <f>D31/1.16</f>
        <v/>
      </c>
      <c r="D31" s="482" t="n">
        <v>363</v>
      </c>
      <c r="E31" s="485">
        <f>F31/1.16</f>
        <v/>
      </c>
      <c r="F31" s="485">
        <f>D31*0.7</f>
        <v/>
      </c>
    </row>
    <row r="32">
      <c r="A32" s="210" t="inlineStr">
        <is>
          <t>AMAZON VENDEDOR</t>
        </is>
      </c>
      <c r="B32" s="204" t="inlineStr">
        <is>
          <t>COLÁGENO+BIOTINA 120 GOMAS</t>
        </is>
      </c>
      <c r="C32" s="490">
        <f>D32/1.16</f>
        <v/>
      </c>
      <c r="D32" s="482" t="n">
        <v>279</v>
      </c>
      <c r="E32" s="485">
        <f>F32/1.16</f>
        <v/>
      </c>
      <c r="F32" s="485">
        <f>D32*0.7</f>
        <v/>
      </c>
    </row>
    <row r="33">
      <c r="A33" s="210" t="inlineStr">
        <is>
          <t>AMAZON VENDEDOR</t>
        </is>
      </c>
      <c r="B33" s="204" t="inlineStr">
        <is>
          <t>OMEGA3 DHA 120 GOMAS</t>
        </is>
      </c>
      <c r="C33" s="490">
        <f>D33/1.16</f>
        <v/>
      </c>
      <c r="D33" s="482" t="n">
        <v>280</v>
      </c>
      <c r="E33" s="485">
        <f>F33/1.16</f>
        <v/>
      </c>
      <c r="F33" s="485">
        <f>D33*0.7</f>
        <v/>
      </c>
    </row>
    <row r="34">
      <c r="A34" s="212" t="inlineStr">
        <is>
          <t>AMAZON VENDEDOR</t>
        </is>
      </c>
      <c r="B34" s="211" t="inlineStr">
        <is>
          <t>BIOTINA 120 GOMAS</t>
        </is>
      </c>
      <c r="C34" s="490">
        <f>D34/1.16</f>
        <v/>
      </c>
      <c r="D34" s="482" t="n">
        <v>280</v>
      </c>
      <c r="E34" s="485">
        <f>F34/1.16</f>
        <v/>
      </c>
      <c r="F34" s="485">
        <f>D34*0.7</f>
        <v/>
      </c>
    </row>
    <row r="35">
      <c r="A35" s="210" t="inlineStr">
        <is>
          <t>AMAZON VENDEDOR</t>
        </is>
      </c>
      <c r="B35" s="198" t="inlineStr">
        <is>
          <t>JUSTOLFOCUS 90 CAPS</t>
        </is>
      </c>
      <c r="C35" s="490">
        <f>D35/1.16</f>
        <v/>
      </c>
      <c r="D35" s="482" t="n">
        <v>493</v>
      </c>
      <c r="E35" s="485">
        <f>F35/1.16</f>
        <v/>
      </c>
      <c r="F35" s="485">
        <f>D35*0.7</f>
        <v/>
      </c>
    </row>
    <row r="36" ht="15" customFormat="1" customHeight="1" s="199" thickBot="1">
      <c r="A36" s="208" t="inlineStr">
        <is>
          <t>AMAZON VENDEDOR</t>
        </is>
      </c>
      <c r="B36" s="207" t="inlineStr">
        <is>
          <t>KIT BEST SELLER (-10%)</t>
        </is>
      </c>
      <c r="C36" s="491">
        <f>D36/1.16</f>
        <v/>
      </c>
      <c r="D36" s="487" t="n">
        <v>811.8</v>
      </c>
      <c r="E36" s="554" t="inlineStr">
        <is>
          <t>-</t>
        </is>
      </c>
      <c r="F36" s="554" t="inlineStr">
        <is>
          <t>-</t>
        </is>
      </c>
    </row>
    <row r="37">
      <c r="A37" s="49" t="inlineStr">
        <is>
          <t>MERCADO LIBRE</t>
        </is>
      </c>
      <c r="B37" s="51" t="inlineStr">
        <is>
          <t>COLAGENO EN POLVO 210 GR</t>
        </is>
      </c>
      <c r="C37" s="482">
        <f>D37/1.16</f>
        <v/>
      </c>
      <c r="D37" s="482" t="n">
        <v>379</v>
      </c>
      <c r="E37" s="485">
        <f>F37/1.16</f>
        <v/>
      </c>
      <c r="F37" s="485">
        <f>D37*0.7</f>
        <v/>
      </c>
    </row>
    <row r="38">
      <c r="A38" s="53" t="inlineStr">
        <is>
          <t>MERCADO LIBRE</t>
        </is>
      </c>
      <c r="B38" s="55" t="inlineStr">
        <is>
          <t>COLAGENO TIPO II 90 CAPS</t>
        </is>
      </c>
      <c r="C38" s="482">
        <f>D38/1.16</f>
        <v/>
      </c>
      <c r="D38" s="482" t="n">
        <v>1063</v>
      </c>
      <c r="E38" s="485">
        <f>F38/1.16</f>
        <v/>
      </c>
      <c r="F38" s="485">
        <f>D38*0.7</f>
        <v/>
      </c>
    </row>
    <row r="39">
      <c r="A39" s="53" t="inlineStr">
        <is>
          <t>MERCADO LIBRE</t>
        </is>
      </c>
      <c r="B39" s="55" t="inlineStr">
        <is>
          <t>COLAGENO TIPO II 30 CAPS</t>
        </is>
      </c>
      <c r="C39" s="482">
        <f>D39/1.16</f>
        <v/>
      </c>
      <c r="D39" s="482" t="n">
        <v>547</v>
      </c>
      <c r="E39" s="485">
        <f>F39/1.16</f>
        <v/>
      </c>
      <c r="F39" s="485">
        <f>D39*0.7</f>
        <v/>
      </c>
    </row>
    <row r="40">
      <c r="A40" s="53" t="inlineStr">
        <is>
          <t>MERCADO LIBRE</t>
        </is>
      </c>
      <c r="B40" s="55" t="inlineStr">
        <is>
          <t>GLUCOSAMINA / CONDROITINA BOVINO 410 TAB</t>
        </is>
      </c>
      <c r="C40" s="482">
        <f>D40/1.16</f>
        <v/>
      </c>
      <c r="D40" s="482" t="n">
        <v>943</v>
      </c>
      <c r="E40" s="485">
        <f>F40/1.16</f>
        <v/>
      </c>
      <c r="F40" s="485">
        <f>D40*0.7</f>
        <v/>
      </c>
    </row>
    <row r="41">
      <c r="A41" s="53" t="inlineStr">
        <is>
          <t>MERCADO LIBRE</t>
        </is>
      </c>
      <c r="B41" s="55" t="inlineStr">
        <is>
          <t>GLUCOSAMINA / CONDROITINA TIBURON 240 TA</t>
        </is>
      </c>
      <c r="C41" s="482">
        <f>D41/1.16</f>
        <v/>
      </c>
      <c r="D41" s="482" t="n">
        <v>597.01</v>
      </c>
      <c r="E41" s="485">
        <f>F41/1.16</f>
        <v/>
      </c>
      <c r="F41" s="485">
        <f>D41*0.7</f>
        <v/>
      </c>
    </row>
    <row r="42">
      <c r="A42" s="53" t="inlineStr">
        <is>
          <t>MERCADO LIBRE</t>
        </is>
      </c>
      <c r="B42" s="55" t="inlineStr">
        <is>
          <t>JUSTBIOH 110 GOMAS</t>
        </is>
      </c>
      <c r="C42" s="482">
        <f>D42/1.16</f>
        <v/>
      </c>
      <c r="D42" s="482" t="n">
        <v>443</v>
      </c>
      <c r="E42" s="485">
        <f>F42/1.16</f>
        <v/>
      </c>
      <c r="F42" s="485">
        <f>D42*0.7</f>
        <v/>
      </c>
    </row>
    <row r="43">
      <c r="A43" s="53" t="inlineStr">
        <is>
          <t>MERCADO LIBRE</t>
        </is>
      </c>
      <c r="B43" s="55" t="inlineStr">
        <is>
          <t>JUSTBIOTICS 110 GOMAS</t>
        </is>
      </c>
      <c r="C43" s="482">
        <f>D43/1.16</f>
        <v/>
      </c>
      <c r="D43" s="482" t="n">
        <v>409</v>
      </c>
      <c r="E43" s="485">
        <f>F43/1.16</f>
        <v/>
      </c>
      <c r="F43" s="485">
        <f>D43*0.7</f>
        <v/>
      </c>
    </row>
    <row r="44">
      <c r="A44" s="53" t="inlineStr">
        <is>
          <t>MERCADO LIBRE</t>
        </is>
      </c>
      <c r="B44" s="55" t="inlineStr">
        <is>
          <t>JUSTCETRUX 180</t>
        </is>
      </c>
      <c r="C44" s="552" t="n">
        <v>219.83</v>
      </c>
      <c r="D44" s="482" t="n">
        <v>199</v>
      </c>
      <c r="E44" s="485">
        <f>F44/1.16</f>
        <v/>
      </c>
      <c r="F44" s="485">
        <f>D44*0.7</f>
        <v/>
      </c>
    </row>
    <row r="45">
      <c r="A45" s="53" t="inlineStr">
        <is>
          <t>MERCADO LIBRE</t>
        </is>
      </c>
      <c r="B45" s="55" t="inlineStr">
        <is>
          <t>JUSTCETRUX 60</t>
        </is>
      </c>
      <c r="C45" s="552" t="n">
        <v>107.76</v>
      </c>
      <c r="D45" s="482" t="n">
        <v>97</v>
      </c>
      <c r="E45" s="555" t="inlineStr">
        <is>
          <t>-</t>
        </is>
      </c>
      <c r="F45" s="555" t="inlineStr">
        <is>
          <t>-</t>
        </is>
      </c>
    </row>
    <row r="46">
      <c r="A46" s="53" t="inlineStr">
        <is>
          <t>MERCADO LIBRE</t>
        </is>
      </c>
      <c r="B46" s="55" t="inlineStr">
        <is>
          <t>JUSTCOLLAGEN 111 GOMAS</t>
        </is>
      </c>
      <c r="C46" s="482">
        <f>D46/1.16</f>
        <v/>
      </c>
      <c r="D46" s="482" t="n">
        <v>390</v>
      </c>
      <c r="E46" s="485">
        <f>F46/1.16</f>
        <v/>
      </c>
      <c r="F46" s="485">
        <f>D46*0.7</f>
        <v/>
      </c>
    </row>
    <row r="47">
      <c r="A47" s="53" t="inlineStr">
        <is>
          <t>MERCADO LIBRE</t>
        </is>
      </c>
      <c r="B47" s="55" t="inlineStr">
        <is>
          <t>JUSTCOLLAGEN 180 TABS</t>
        </is>
      </c>
      <c r="C47" s="482">
        <f>D47/1.16</f>
        <v/>
      </c>
      <c r="D47" s="482" t="n">
        <v>395</v>
      </c>
      <c r="E47" s="485">
        <f>F47/1.16</f>
        <v/>
      </c>
      <c r="F47" s="485">
        <f>D47*0.7</f>
        <v/>
      </c>
    </row>
    <row r="48">
      <c r="A48" s="53" t="inlineStr">
        <is>
          <t>MERCADO LIBRE</t>
        </is>
      </c>
      <c r="B48" s="55" t="inlineStr">
        <is>
          <t>JUSTCOLLAGEN 90 TABS</t>
        </is>
      </c>
      <c r="C48" s="482">
        <f>D48/1.16</f>
        <v/>
      </c>
      <c r="D48" s="482" t="n">
        <v>255.2</v>
      </c>
      <c r="E48" s="485">
        <f>F48/1.16</f>
        <v/>
      </c>
      <c r="F48" s="485">
        <f>D48*0.7</f>
        <v/>
      </c>
      <c r="I48" s="486" t="n"/>
    </row>
    <row r="49">
      <c r="A49" s="53" t="inlineStr">
        <is>
          <t>MERCADO LIBRE</t>
        </is>
      </c>
      <c r="B49" s="55" t="inlineStr">
        <is>
          <t>JUSTFX 120 CAPS</t>
        </is>
      </c>
      <c r="C49" s="482">
        <f>D49/1.16</f>
        <v/>
      </c>
      <c r="D49" s="482" t="n">
        <v>507</v>
      </c>
      <c r="E49" s="485">
        <f>F49/1.16</f>
        <v/>
      </c>
      <c r="F49" s="485">
        <f>D49*0.7</f>
        <v/>
      </c>
      <c r="I49" s="486" t="n"/>
    </row>
    <row r="50">
      <c r="A50" s="53" t="inlineStr">
        <is>
          <t>MERCADO LIBRE</t>
        </is>
      </c>
      <c r="B50" s="55" t="inlineStr">
        <is>
          <t>JUSTFX 90 CAPS</t>
        </is>
      </c>
      <c r="C50" s="482">
        <f>D50/1.16</f>
        <v/>
      </c>
      <c r="D50" s="482" t="n">
        <v>399.01</v>
      </c>
      <c r="E50" s="485">
        <f>F50/1.16</f>
        <v/>
      </c>
      <c r="F50" s="485">
        <f>D50*0.7</f>
        <v/>
      </c>
      <c r="I50" s="486" t="n"/>
    </row>
    <row r="51">
      <c r="A51" s="53" t="inlineStr">
        <is>
          <t>MERCADO LIBRE</t>
        </is>
      </c>
      <c r="B51" s="198" t="inlineStr">
        <is>
          <t>JUSTOLFOCUS 90 CAPS</t>
        </is>
      </c>
      <c r="C51" s="482">
        <f>D51/1.16</f>
        <v/>
      </c>
      <c r="D51" s="482" t="n">
        <v>493</v>
      </c>
      <c r="E51" s="485">
        <f>F51/1.16</f>
        <v/>
      </c>
      <c r="F51" s="485">
        <f>D51*0.7</f>
        <v/>
      </c>
      <c r="I51" s="486" t="n"/>
    </row>
    <row r="52">
      <c r="A52" s="53" t="inlineStr">
        <is>
          <t>MERCADO LIBRE</t>
        </is>
      </c>
      <c r="B52" s="55" t="inlineStr">
        <is>
          <t>JUSTOMEGA-3 110 GOMAS</t>
        </is>
      </c>
      <c r="C52" s="482">
        <f>D52/1.16</f>
        <v/>
      </c>
      <c r="D52" s="482" t="n">
        <v>390</v>
      </c>
      <c r="E52" s="485">
        <f>F52/1.16</f>
        <v/>
      </c>
      <c r="F52" s="485">
        <f>D52*0.7</f>
        <v/>
      </c>
      <c r="H52" s="486" t="n"/>
      <c r="I52" s="486" t="n"/>
      <c r="J52" s="486" t="n"/>
    </row>
    <row r="53">
      <c r="A53" s="53" t="inlineStr">
        <is>
          <t>MERCADO LIBRE</t>
        </is>
      </c>
      <c r="B53" s="55" t="inlineStr">
        <is>
          <t>PROBIOTICOS GUMMYCARE 60 GOMAS</t>
        </is>
      </c>
      <c r="C53" s="482">
        <f>D53/1.16</f>
        <v/>
      </c>
      <c r="D53" s="482" t="n">
        <v>375</v>
      </c>
      <c r="E53" s="485">
        <f>F53/1.16</f>
        <v/>
      </c>
      <c r="F53" s="485">
        <f>D53*0.7</f>
        <v/>
      </c>
    </row>
    <row r="54">
      <c r="A54" s="53" t="inlineStr">
        <is>
          <t>MERCADO LIBRE</t>
        </is>
      </c>
      <c r="B54" s="55" t="inlineStr">
        <is>
          <t>Kit De Colágeno Hidrolizado: Polvo + Gomitas + Tabletas</t>
        </is>
      </c>
      <c r="C54" s="482">
        <f>D54/1.16</f>
        <v/>
      </c>
      <c r="D54" s="482" t="n">
        <v>1047.6</v>
      </c>
      <c r="E54" s="555" t="inlineStr">
        <is>
          <t>-</t>
        </is>
      </c>
      <c r="F54" s="555" t="inlineStr">
        <is>
          <t>-</t>
        </is>
      </c>
    </row>
    <row r="55">
      <c r="A55" s="53" t="inlineStr">
        <is>
          <t>MERCADO LIBRE</t>
        </is>
      </c>
      <c r="B55" s="58" t="inlineStr">
        <is>
          <t>KIT GOMITAS</t>
        </is>
      </c>
      <c r="C55" s="482">
        <f>D55/1.16</f>
        <v/>
      </c>
      <c r="D55" s="482" t="n">
        <v>1070.11</v>
      </c>
      <c r="E55" s="555" t="inlineStr">
        <is>
          <t>-</t>
        </is>
      </c>
      <c r="F55" s="555" t="inlineStr">
        <is>
          <t>-</t>
        </is>
      </c>
    </row>
    <row r="56">
      <c r="A56" s="53" t="inlineStr">
        <is>
          <t>MERCADO LIBRE</t>
        </is>
      </c>
      <c r="B56" s="58" t="inlineStr">
        <is>
          <t>Kit Gomitas De Colágeno + Biotina</t>
        </is>
      </c>
      <c r="C56" s="482">
        <f>D56/1.16</f>
        <v/>
      </c>
      <c r="D56" s="482" t="n">
        <v>645.0599999999999</v>
      </c>
      <c r="E56" s="555" t="inlineStr">
        <is>
          <t>-</t>
        </is>
      </c>
      <c r="F56" s="555" t="inlineStr">
        <is>
          <t>-</t>
        </is>
      </c>
    </row>
    <row r="57">
      <c r="A57" s="53" t="inlineStr">
        <is>
          <t>MERCADO LIBRE</t>
        </is>
      </c>
      <c r="B57" s="58" t="inlineStr">
        <is>
          <t>PACK GLUCOSAMINA 240 2PZS</t>
        </is>
      </c>
      <c r="C57" s="482">
        <f>D57/1.16</f>
        <v/>
      </c>
      <c r="D57" s="482" t="n">
        <v>1134.31</v>
      </c>
      <c r="E57" s="555" t="inlineStr">
        <is>
          <t>-</t>
        </is>
      </c>
      <c r="F57" s="555" t="inlineStr">
        <is>
          <t>-</t>
        </is>
      </c>
    </row>
    <row r="58">
      <c r="A58" s="53" t="inlineStr">
        <is>
          <t>MERCADO LIBRE</t>
        </is>
      </c>
      <c r="B58" s="58" t="inlineStr">
        <is>
          <t>PACK BIOTINA 110 GOMAS 2PZS</t>
        </is>
      </c>
      <c r="C58" s="482">
        <f>D58/1.16</f>
        <v/>
      </c>
      <c r="D58" s="482" t="n">
        <v>841.71</v>
      </c>
      <c r="E58" s="555" t="inlineStr">
        <is>
          <t>-</t>
        </is>
      </c>
      <c r="F58" s="555" t="inlineStr">
        <is>
          <t>-</t>
        </is>
      </c>
    </row>
    <row r="59">
      <c r="A59" s="53" t="inlineStr">
        <is>
          <t>MERCADO LIBRE</t>
        </is>
      </c>
      <c r="B59" s="58" t="inlineStr">
        <is>
          <t>PACK JUSTCOLLAGEN 111 GOMAS 2PZS</t>
        </is>
      </c>
      <c r="C59" s="482">
        <f>D59/1.16</f>
        <v/>
      </c>
      <c r="D59" s="482" t="n">
        <v>741.01</v>
      </c>
      <c r="E59" s="555" t="inlineStr">
        <is>
          <t>-</t>
        </is>
      </c>
      <c r="F59" s="555" t="inlineStr">
        <is>
          <t>-</t>
        </is>
      </c>
    </row>
    <row r="60">
      <c r="A60" s="53" t="inlineStr">
        <is>
          <t>MERCADO LIBRE</t>
        </is>
      </c>
      <c r="B60" s="58" t="inlineStr">
        <is>
          <t>Kit Probióticos + Omega, 120 Gomitas</t>
        </is>
      </c>
      <c r="C60" s="482">
        <f>D60/1.16</f>
        <v/>
      </c>
      <c r="D60" s="482" t="n">
        <v>549.1</v>
      </c>
      <c r="E60" s="555" t="inlineStr">
        <is>
          <t>-</t>
        </is>
      </c>
      <c r="F60" s="555" t="inlineStr">
        <is>
          <t>-</t>
        </is>
      </c>
    </row>
    <row r="61">
      <c r="A61" s="53" t="inlineStr">
        <is>
          <t>MERCADO LIBRE</t>
        </is>
      </c>
      <c r="B61" s="55" t="inlineStr">
        <is>
          <t>COLÁGENO+BIOTINA 120 GOMAS</t>
        </is>
      </c>
      <c r="C61" s="482">
        <f>D61/1.16</f>
        <v/>
      </c>
      <c r="D61" s="482" t="n">
        <v>288</v>
      </c>
      <c r="E61" s="485">
        <f>F61/1.16</f>
        <v/>
      </c>
      <c r="F61" s="485">
        <f>D61*0.7</f>
        <v/>
      </c>
    </row>
    <row r="62">
      <c r="A62" s="53" t="inlineStr">
        <is>
          <t>MERCADO LIBRE</t>
        </is>
      </c>
      <c r="B62" s="58" t="inlineStr">
        <is>
          <t>PROBIÓTICOS+FIBRA 120 GOMAS</t>
        </is>
      </c>
      <c r="C62" s="482">
        <f>D62/1.16</f>
        <v/>
      </c>
      <c r="D62" s="482" t="n">
        <v>289</v>
      </c>
      <c r="E62" s="485">
        <f>F62/1.16</f>
        <v/>
      </c>
      <c r="F62" s="485">
        <f>D62*0.7</f>
        <v/>
      </c>
    </row>
    <row r="63">
      <c r="A63" s="53" t="inlineStr">
        <is>
          <t>MERCADO LIBRE</t>
        </is>
      </c>
      <c r="B63" s="204" t="inlineStr">
        <is>
          <t>OMEGA3 DHA 120 GOMAS</t>
        </is>
      </c>
      <c r="C63" s="482">
        <f>D63/1.16</f>
        <v/>
      </c>
      <c r="D63" s="482" t="n">
        <v>289</v>
      </c>
      <c r="E63" s="485">
        <f>F63/1.16</f>
        <v/>
      </c>
      <c r="F63" s="485">
        <f>D63*0.7</f>
        <v/>
      </c>
    </row>
    <row r="64" ht="15" customFormat="1" customHeight="1" s="199" thickBot="1">
      <c r="A64" s="203" t="inlineStr">
        <is>
          <t>MERCADO LIBRE</t>
        </is>
      </c>
      <c r="B64" s="202" t="inlineStr">
        <is>
          <t>BIOTINA 120 GOMAS</t>
        </is>
      </c>
      <c r="C64" s="487">
        <f>D64/1.16</f>
        <v/>
      </c>
      <c r="D64" s="487" t="n">
        <v>289</v>
      </c>
      <c r="E64" s="489">
        <f>F64/1.16</f>
        <v/>
      </c>
      <c r="F64" s="489">
        <f>D64*0.7</f>
        <v/>
      </c>
    </row>
    <row r="65">
      <c r="A65" s="49" t="inlineStr">
        <is>
          <t>WEB</t>
        </is>
      </c>
      <c r="B65" s="51" t="inlineStr">
        <is>
          <t>COLAGENO EN POLVO 210 GR</t>
        </is>
      </c>
      <c r="C65" s="482">
        <f>D65/1.16</f>
        <v/>
      </c>
      <c r="D65" s="482" t="n">
        <v>349</v>
      </c>
      <c r="E65" s="485">
        <f>F65/1.16</f>
        <v/>
      </c>
      <c r="F65" s="485">
        <f>D65*0.7</f>
        <v/>
      </c>
    </row>
    <row r="66">
      <c r="A66" s="53" t="inlineStr">
        <is>
          <t>WEB</t>
        </is>
      </c>
      <c r="B66" s="55" t="inlineStr">
        <is>
          <t>COLAGENO TIPO II 90 CAPS</t>
        </is>
      </c>
      <c r="C66" s="482">
        <f>D66/1.16</f>
        <v/>
      </c>
      <c r="D66" s="482" t="n">
        <v>1059</v>
      </c>
      <c r="E66" s="485">
        <f>F66/1.16</f>
        <v/>
      </c>
      <c r="F66" s="485">
        <f>D66*0.7</f>
        <v/>
      </c>
    </row>
    <row r="67">
      <c r="A67" s="53" t="inlineStr">
        <is>
          <t>WEB</t>
        </is>
      </c>
      <c r="B67" s="55" t="inlineStr">
        <is>
          <t>COLAGENO TIPO II 30 CAPS</t>
        </is>
      </c>
      <c r="C67" s="482">
        <f>D67/1.16</f>
        <v/>
      </c>
      <c r="D67" s="482" t="n">
        <v>509</v>
      </c>
      <c r="E67" s="485">
        <f>F67/1.16</f>
        <v/>
      </c>
      <c r="F67" s="485">
        <f>D67*0.7</f>
        <v/>
      </c>
    </row>
    <row r="68">
      <c r="A68" s="53" t="inlineStr">
        <is>
          <t>WEB</t>
        </is>
      </c>
      <c r="B68" s="55" t="inlineStr">
        <is>
          <t>GLUCOSAMINA / CONDROITINA TIBURON 160 TA</t>
        </is>
      </c>
      <c r="C68" s="482">
        <f>D68/1.16</f>
        <v/>
      </c>
      <c r="D68" s="482" t="n">
        <v>499</v>
      </c>
      <c r="E68" s="485">
        <f>F68/1.16</f>
        <v/>
      </c>
      <c r="F68" s="485">
        <f>D68*0.7</f>
        <v/>
      </c>
    </row>
    <row r="69">
      <c r="A69" s="53" t="inlineStr">
        <is>
          <t>WEB</t>
        </is>
      </c>
      <c r="B69" s="55" t="inlineStr">
        <is>
          <t>GLUCOSAMINA / CONDROITINA TIBURON 240 TA</t>
        </is>
      </c>
      <c r="C69" s="482">
        <f>D69/1.16</f>
        <v/>
      </c>
      <c r="D69" s="482" t="n">
        <v>595</v>
      </c>
      <c r="E69" s="485">
        <f>F69/1.16</f>
        <v/>
      </c>
      <c r="F69" s="485">
        <f>D69*0.7</f>
        <v/>
      </c>
    </row>
    <row r="70">
      <c r="A70" s="53" t="inlineStr">
        <is>
          <t>WEB</t>
        </is>
      </c>
      <c r="B70" s="55" t="inlineStr">
        <is>
          <t>GLUCOSAMINA / CONDROITINA BOVINO 410 TAB</t>
        </is>
      </c>
      <c r="C70" s="482">
        <f>D70/1.16</f>
        <v/>
      </c>
      <c r="D70" s="482" t="n">
        <v>940</v>
      </c>
      <c r="E70" s="485">
        <f>F70/1.16</f>
        <v/>
      </c>
      <c r="F70" s="485">
        <f>D70*0.7</f>
        <v/>
      </c>
    </row>
    <row r="71">
      <c r="A71" s="53" t="inlineStr">
        <is>
          <t>WEB</t>
        </is>
      </c>
      <c r="B71" s="55" t="inlineStr">
        <is>
          <t>JUSTBIOH 110 GOMAS</t>
        </is>
      </c>
      <c r="C71" s="482">
        <f>D71/1.16</f>
        <v/>
      </c>
      <c r="D71" s="482" t="n">
        <v>441</v>
      </c>
      <c r="E71" s="485">
        <f>F71/1.16</f>
        <v/>
      </c>
      <c r="F71" s="485">
        <f>D71*0.7</f>
        <v/>
      </c>
    </row>
    <row r="72">
      <c r="A72" s="53" t="inlineStr">
        <is>
          <t>WEB</t>
        </is>
      </c>
      <c r="B72" s="55" t="inlineStr">
        <is>
          <t>JUSTBIOTICS 110 GOMAS</t>
        </is>
      </c>
      <c r="C72" s="482">
        <f>D72/1.16</f>
        <v/>
      </c>
      <c r="D72" s="482" t="n">
        <v>407</v>
      </c>
      <c r="E72" s="485">
        <f>F72/1.16</f>
        <v/>
      </c>
      <c r="F72" s="485">
        <f>D72*0.7</f>
        <v/>
      </c>
    </row>
    <row r="73">
      <c r="A73" s="53" t="inlineStr">
        <is>
          <t>WEB</t>
        </is>
      </c>
      <c r="B73" s="55" t="inlineStr">
        <is>
          <t>JUSTCETRUX 180</t>
        </is>
      </c>
      <c r="C73" s="552" t="n">
        <v>206.035</v>
      </c>
      <c r="D73" s="482" t="n">
        <v>199</v>
      </c>
      <c r="E73" s="485">
        <f>F73/1.16</f>
        <v/>
      </c>
      <c r="F73" s="485">
        <f>D73*0.7</f>
        <v/>
      </c>
    </row>
    <row r="74">
      <c r="A74" s="53" t="inlineStr">
        <is>
          <t>WEB</t>
        </is>
      </c>
      <c r="B74" s="55" t="inlineStr">
        <is>
          <t>JUSTCETRUX 60</t>
        </is>
      </c>
      <c r="C74" s="552" t="n">
        <v>105.17</v>
      </c>
      <c r="D74" s="482" t="n">
        <v>89</v>
      </c>
      <c r="E74" s="555" t="inlineStr">
        <is>
          <t>-</t>
        </is>
      </c>
      <c r="F74" s="555" t="inlineStr">
        <is>
          <t>-</t>
        </is>
      </c>
    </row>
    <row r="75">
      <c r="A75" s="53" t="inlineStr">
        <is>
          <t>WEB</t>
        </is>
      </c>
      <c r="B75" s="55" t="inlineStr">
        <is>
          <t>JUSTCOLLAGEN 111 GOMAS</t>
        </is>
      </c>
      <c r="C75" s="482">
        <f>D75/1.16</f>
        <v/>
      </c>
      <c r="D75" s="482" t="n">
        <v>389</v>
      </c>
      <c r="E75" s="485">
        <f>F75/1.16</f>
        <v/>
      </c>
      <c r="F75" s="485">
        <f>D75*0.7</f>
        <v/>
      </c>
    </row>
    <row r="76">
      <c r="A76" s="53" t="inlineStr">
        <is>
          <t>WEB</t>
        </is>
      </c>
      <c r="B76" s="55" t="inlineStr">
        <is>
          <t>JUSTCOLLAGEN 180 TABS</t>
        </is>
      </c>
      <c r="C76" s="482">
        <f>D76/1.16</f>
        <v/>
      </c>
      <c r="D76" s="482" t="n">
        <v>395</v>
      </c>
      <c r="E76" s="485">
        <f>F76/1.16</f>
        <v/>
      </c>
      <c r="F76" s="485">
        <f>D76*0.7</f>
        <v/>
      </c>
    </row>
    <row r="77">
      <c r="A77" s="53" t="inlineStr">
        <is>
          <t>WEB</t>
        </is>
      </c>
      <c r="B77" s="55" t="inlineStr">
        <is>
          <t>JUSTCOLLAGEN 90 TABS</t>
        </is>
      </c>
      <c r="C77" s="482">
        <f>D77/1.16</f>
        <v/>
      </c>
      <c r="D77" s="482" t="n">
        <v>220</v>
      </c>
      <c r="E77" s="485">
        <f>F77/1.16</f>
        <v/>
      </c>
      <c r="F77" s="485">
        <f>D77*0.7</f>
        <v/>
      </c>
    </row>
    <row r="78">
      <c r="A78" s="53" t="inlineStr">
        <is>
          <t>WEB</t>
        </is>
      </c>
      <c r="B78" s="55" t="inlineStr">
        <is>
          <t>JUSTFX 120 CAPS</t>
        </is>
      </c>
      <c r="C78" s="482">
        <f>D78/1.16</f>
        <v/>
      </c>
      <c r="D78" s="482" t="n">
        <v>505</v>
      </c>
      <c r="E78" s="485">
        <f>F78/1.16</f>
        <v/>
      </c>
      <c r="F78" s="485">
        <f>D78*0.7</f>
        <v/>
      </c>
    </row>
    <row r="79">
      <c r="A79" s="53" t="inlineStr">
        <is>
          <t>WEB</t>
        </is>
      </c>
      <c r="B79" s="55" t="inlineStr">
        <is>
          <t>JUSTFX 90 CAPS</t>
        </is>
      </c>
      <c r="C79" s="482">
        <f>D79/1.16</f>
        <v/>
      </c>
      <c r="D79" s="482" t="n">
        <v>369</v>
      </c>
      <c r="E79" s="485">
        <f>F79/1.16</f>
        <v/>
      </c>
      <c r="F79" s="485">
        <f>D79*0.7</f>
        <v/>
      </c>
    </row>
    <row r="80">
      <c r="A80" s="53" t="inlineStr">
        <is>
          <t>WEB</t>
        </is>
      </c>
      <c r="B80" s="198" t="inlineStr">
        <is>
          <t>JUSTOLFOCUS 90 CAPS</t>
        </is>
      </c>
      <c r="C80" s="482">
        <f>D80/1.16</f>
        <v/>
      </c>
      <c r="D80" s="482" t="n">
        <v>489</v>
      </c>
      <c r="E80" s="485">
        <f>F80/1.16</f>
        <v/>
      </c>
      <c r="F80" s="485">
        <f>D80*0.7</f>
        <v/>
      </c>
    </row>
    <row r="81">
      <c r="A81" s="53" t="inlineStr">
        <is>
          <t>WEB</t>
        </is>
      </c>
      <c r="B81" s="55" t="inlineStr">
        <is>
          <t>JUSTCALOSTRO 30 CAPS</t>
        </is>
      </c>
      <c r="C81" s="482">
        <f>D81/1.16</f>
        <v/>
      </c>
      <c r="D81" s="482" t="n">
        <v>167</v>
      </c>
      <c r="E81" s="555" t="inlineStr">
        <is>
          <t>-</t>
        </is>
      </c>
      <c r="F81" s="555" t="inlineStr">
        <is>
          <t>-</t>
        </is>
      </c>
    </row>
    <row r="82">
      <c r="A82" s="53" t="inlineStr">
        <is>
          <t>WEB</t>
        </is>
      </c>
      <c r="B82" s="55" t="inlineStr">
        <is>
          <t>JUSTOMEGA-3 110 GOMAS</t>
        </is>
      </c>
      <c r="C82" s="482">
        <f>D82/1.16</f>
        <v/>
      </c>
      <c r="D82" s="482" t="n">
        <v>390</v>
      </c>
      <c r="E82" s="485">
        <f>F82/1.16</f>
        <v/>
      </c>
      <c r="F82" s="485">
        <f>D82*0.7</f>
        <v/>
      </c>
    </row>
    <row r="83">
      <c r="A83" s="53" t="inlineStr">
        <is>
          <t>WEB</t>
        </is>
      </c>
      <c r="B83" s="55" t="inlineStr">
        <is>
          <t>PROBIOTICOS GUMMYCARE 60 GOMAS</t>
        </is>
      </c>
      <c r="C83" s="482">
        <f>D83/1.16</f>
        <v/>
      </c>
      <c r="D83" s="482" t="n">
        <v>349</v>
      </c>
      <c r="E83" s="485">
        <f>F83/1.16</f>
        <v/>
      </c>
      <c r="F83" s="485">
        <f>D83*0.7</f>
        <v/>
      </c>
    </row>
    <row r="84">
      <c r="A84" s="53" t="inlineStr">
        <is>
          <t>WEB</t>
        </is>
      </c>
      <c r="B84" s="55" t="inlineStr">
        <is>
          <t>SISTEMA BELLEZA (-10%)</t>
        </is>
      </c>
      <c r="C84" s="482">
        <f>D84/1.16</f>
        <v/>
      </c>
      <c r="D84" s="482" t="n">
        <v>1019.7</v>
      </c>
      <c r="E84" s="555" t="inlineStr">
        <is>
          <t>-</t>
        </is>
      </c>
      <c r="F84" s="555" t="inlineStr">
        <is>
          <t>-</t>
        </is>
      </c>
    </row>
    <row r="85">
      <c r="A85" s="53" t="inlineStr">
        <is>
          <t>WEB</t>
        </is>
      </c>
      <c r="B85" s="55" t="inlineStr">
        <is>
          <t>SISTEMA DEPORTE (-10%)</t>
        </is>
      </c>
      <c r="C85" s="482">
        <f>D85/1.16</f>
        <v/>
      </c>
      <c r="D85" s="482" t="n">
        <v>1218.6</v>
      </c>
      <c r="E85" s="555" t="inlineStr">
        <is>
          <t>-</t>
        </is>
      </c>
      <c r="F85" s="555" t="inlineStr">
        <is>
          <t>-</t>
        </is>
      </c>
    </row>
    <row r="86">
      <c r="A86" s="53" t="inlineStr">
        <is>
          <t>WEB</t>
        </is>
      </c>
      <c r="B86" s="55" t="inlineStr">
        <is>
          <t>SISTEMA BEST SELLER (-10%)</t>
        </is>
      </c>
      <c r="C86" s="556">
        <f>D86/1.16</f>
        <v/>
      </c>
      <c r="D86" s="557" t="n">
        <v>810</v>
      </c>
      <c r="E86" s="555" t="inlineStr">
        <is>
          <t>-</t>
        </is>
      </c>
      <c r="F86" s="555" t="inlineStr">
        <is>
          <t>-</t>
        </is>
      </c>
    </row>
    <row r="87">
      <c r="A87" s="53" t="inlineStr">
        <is>
          <t>WEB</t>
        </is>
      </c>
      <c r="B87" s="55" t="inlineStr">
        <is>
          <t>PACK 2 PZS COLAGENO TIPO II</t>
        </is>
      </c>
      <c r="C87" s="556">
        <f>D87/1.16</f>
        <v/>
      </c>
      <c r="D87" s="557" t="n">
        <v>2012.1</v>
      </c>
      <c r="E87" s="555" t="inlineStr">
        <is>
          <t>-</t>
        </is>
      </c>
      <c r="F87" s="555" t="inlineStr">
        <is>
          <t>-</t>
        </is>
      </c>
    </row>
    <row r="88">
      <c r="A88" s="53" t="inlineStr">
        <is>
          <t>WEB</t>
        </is>
      </c>
      <c r="B88" s="55" t="inlineStr">
        <is>
          <t xml:space="preserve">PACK 2 PZS GLUCOSAMINA 240 </t>
        </is>
      </c>
      <c r="C88" s="556">
        <f>D88/1.16</f>
        <v/>
      </c>
      <c r="D88" s="557" t="n">
        <v>1130.5</v>
      </c>
      <c r="E88" s="555" t="inlineStr">
        <is>
          <t>-</t>
        </is>
      </c>
      <c r="F88" s="555" t="inlineStr">
        <is>
          <t>-</t>
        </is>
      </c>
    </row>
    <row r="89">
      <c r="A89" s="53" t="inlineStr">
        <is>
          <t>WEB</t>
        </is>
      </c>
      <c r="B89" s="55" t="inlineStr">
        <is>
          <t>PACK 2 PZS JUSTBIOH 110 GOMAS</t>
        </is>
      </c>
      <c r="C89" s="556">
        <f>D89/1.16</f>
        <v/>
      </c>
      <c r="D89" s="557" t="n">
        <v>837.89</v>
      </c>
      <c r="E89" s="555" t="inlineStr">
        <is>
          <t>-</t>
        </is>
      </c>
      <c r="F89" s="555" t="inlineStr">
        <is>
          <t>-</t>
        </is>
      </c>
    </row>
    <row r="90">
      <c r="A90" s="53" t="inlineStr">
        <is>
          <t>WEB</t>
        </is>
      </c>
      <c r="B90" s="55" t="inlineStr">
        <is>
          <t>PACK 2 PZS JUSTCOLLAGEN 111 GOMAS</t>
        </is>
      </c>
      <c r="C90" s="556">
        <f>D90/1.16</f>
        <v/>
      </c>
      <c r="D90" s="557" t="n">
        <v>739.1</v>
      </c>
      <c r="E90" s="555" t="inlineStr">
        <is>
          <t>-</t>
        </is>
      </c>
      <c r="F90" s="555" t="inlineStr">
        <is>
          <t>-</t>
        </is>
      </c>
    </row>
    <row r="91">
      <c r="A91" s="53" t="inlineStr">
        <is>
          <t>WEB</t>
        </is>
      </c>
      <c r="B91" s="55" t="inlineStr">
        <is>
          <t>PACK 2 PZS JUSTCOLLAGEN 180</t>
        </is>
      </c>
      <c r="C91" s="556">
        <f>D91/1.16</f>
        <v/>
      </c>
      <c r="D91" s="557" t="n">
        <v>750.51</v>
      </c>
      <c r="E91" s="555" t="inlineStr">
        <is>
          <t>-</t>
        </is>
      </c>
      <c r="F91" s="555" t="inlineStr">
        <is>
          <t>-</t>
        </is>
      </c>
    </row>
    <row r="92">
      <c r="A92" s="53" t="inlineStr">
        <is>
          <t>WEB</t>
        </is>
      </c>
      <c r="B92" s="55" t="inlineStr">
        <is>
          <t>PACK 2 PZS JUSTFX 120 CAPS</t>
        </is>
      </c>
      <c r="C92" s="556">
        <f>D92/1.16</f>
        <v/>
      </c>
      <c r="D92" s="557" t="n">
        <v>959.5</v>
      </c>
      <c r="E92" s="555" t="inlineStr">
        <is>
          <t>-</t>
        </is>
      </c>
      <c r="F92" s="555" t="inlineStr">
        <is>
          <t>-</t>
        </is>
      </c>
    </row>
    <row r="93">
      <c r="A93" s="53" t="inlineStr">
        <is>
          <t>WEB</t>
        </is>
      </c>
      <c r="B93" s="55" t="inlineStr">
        <is>
          <t>PACK 2 PZS JUSTOMEGA3 110 GOMAS</t>
        </is>
      </c>
      <c r="C93" s="556">
        <f>D93/1.16</f>
        <v/>
      </c>
      <c r="D93" s="557" t="n">
        <v>741</v>
      </c>
      <c r="E93" s="555" t="inlineStr">
        <is>
          <t>-</t>
        </is>
      </c>
      <c r="F93" s="555" t="inlineStr">
        <is>
          <t>-</t>
        </is>
      </c>
    </row>
    <row r="94">
      <c r="A94" s="53" t="inlineStr">
        <is>
          <t>WEB</t>
        </is>
      </c>
      <c r="B94" s="55" t="inlineStr">
        <is>
          <t>KIT PROBIOTICOS + OMEGA 120 GOMAS</t>
        </is>
      </c>
      <c r="C94" s="556">
        <f>D94/1.16</f>
        <v/>
      </c>
      <c r="D94" s="557" t="n">
        <v>507.29</v>
      </c>
      <c r="E94" s="555" t="inlineStr">
        <is>
          <t>-</t>
        </is>
      </c>
      <c r="F94" s="555" t="inlineStr">
        <is>
          <t>-</t>
        </is>
      </c>
    </row>
    <row r="95">
      <c r="A95" s="53" t="inlineStr">
        <is>
          <t>WEB</t>
        </is>
      </c>
      <c r="B95" s="55" t="inlineStr">
        <is>
          <t>KIT GOMITAS DE COLÁGENO + BIOTINA</t>
        </is>
      </c>
      <c r="C95" s="556">
        <f>D95/1.16</f>
        <v/>
      </c>
      <c r="D95" s="557" t="n">
        <v>623.2</v>
      </c>
      <c r="E95" s="555" t="inlineStr">
        <is>
          <t>-</t>
        </is>
      </c>
      <c r="F95" s="555" t="inlineStr">
        <is>
          <t>-</t>
        </is>
      </c>
    </row>
  </sheetData>
  <autoFilter ref="A2:F95"/>
  <mergeCells count="2">
    <mergeCell ref="A1:D1"/>
    <mergeCell ref="E1:F1"/>
  </mergeCells>
  <conditionalFormatting sqref="C44:C45 C86:C95">
    <cfRule type="cellIs" priority="1" operator="greaterThan" dxfId="0">
      <formula>B44</formula>
    </cfRule>
  </conditionalFormatting>
  <conditionalFormatting sqref="C73:C74">
    <cfRule type="cellIs" priority="2" operator="greaterThan" dxfId="0">
      <formula>B73</formula>
    </cfRule>
  </conditionalFormatting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tabColor theme="6"/>
    <outlinePr summaryBelow="1" summaryRight="1"/>
    <pageSetUpPr/>
  </sheetPr>
  <dimension ref="A1:F31"/>
  <sheetViews>
    <sheetView workbookViewId="0">
      <selection activeCell="E11" sqref="E11"/>
    </sheetView>
  </sheetViews>
  <sheetFormatPr baseColWidth="10" defaultColWidth="11.54296875" defaultRowHeight="14.5"/>
  <cols>
    <col width="50.1796875" customWidth="1" style="6" min="1" max="1"/>
    <col width="16.453125" customWidth="1" style="8" min="2" max="3"/>
    <col width="11.54296875" customWidth="1" style="6" min="4" max="4"/>
    <col width="15.453125" customWidth="1" style="6" min="5" max="5"/>
    <col width="11.54296875" customWidth="1" style="6" min="6" max="16384"/>
  </cols>
  <sheetData>
    <row r="1" ht="16.15" customHeight="1">
      <c r="A1" s="9" t="inlineStr">
        <is>
          <t>Plataforma</t>
        </is>
      </c>
      <c r="B1" s="10" t="inlineStr">
        <is>
          <t>Código</t>
        </is>
      </c>
      <c r="C1" s="10" t="n"/>
      <c r="E1" s="75" t="inlineStr">
        <is>
          <t>COSTO DE ENVIO</t>
        </is>
      </c>
    </row>
    <row r="2" ht="15.5" customHeight="1">
      <c r="A2" s="20" t="inlineStr">
        <is>
          <t>Mercado Libre</t>
        </is>
      </c>
      <c r="B2" s="21" t="n"/>
      <c r="C2" s="126" t="inlineStr">
        <is>
          <t>Precio de facturación</t>
        </is>
      </c>
      <c r="E2" s="6" t="inlineStr">
        <is>
          <t>Mercado Libre</t>
        </is>
      </c>
      <c r="F2" s="558" t="n">
        <v>0</v>
      </c>
    </row>
    <row r="3">
      <c r="A3" s="51" t="inlineStr">
        <is>
          <t>COLAGENO EN POLVO 210 GR</t>
        </is>
      </c>
      <c r="B3" s="50" t="n">
        <v>503635000200</v>
      </c>
      <c r="C3" s="559" t="n">
        <v>326.72</v>
      </c>
      <c r="E3" s="6" t="inlineStr">
        <is>
          <t>Just for you</t>
        </is>
      </c>
      <c r="F3" s="558" t="n">
        <v>76.72</v>
      </c>
    </row>
    <row r="4">
      <c r="A4" s="55" t="inlineStr">
        <is>
          <t>COLAGENO TIPO II 90 CAPS</t>
        </is>
      </c>
      <c r="B4" s="54" t="n">
        <v>503635000606</v>
      </c>
      <c r="C4" s="559" t="n">
        <v>916.38</v>
      </c>
      <c r="E4" s="6" t="inlineStr">
        <is>
          <t>Amazon</t>
        </is>
      </c>
      <c r="F4" s="558" t="n">
        <v>81.90000000000001</v>
      </c>
    </row>
    <row r="5">
      <c r="A5" s="55" t="inlineStr">
        <is>
          <t>COLAGENO TIPO II 30 CAPS</t>
        </is>
      </c>
      <c r="B5" s="54" t="n">
        <v>503635005100</v>
      </c>
      <c r="C5" s="559" t="n">
        <v>471.55</v>
      </c>
    </row>
    <row r="6">
      <c r="A6" s="55" t="inlineStr">
        <is>
          <t>GLUCOSAMINA / CONDROITINA BOVINO 410 TAB</t>
        </is>
      </c>
      <c r="B6" s="54" t="n">
        <v>503635000300</v>
      </c>
      <c r="C6" s="559" t="n">
        <v>812.9299999999999</v>
      </c>
    </row>
    <row r="7">
      <c r="A7" s="55" t="inlineStr">
        <is>
          <t>GLUCOSAMINA / CONDROITINA TIBURON 240 TA</t>
        </is>
      </c>
      <c r="B7" s="54" t="n">
        <v>503635000100</v>
      </c>
      <c r="C7" s="559" t="n">
        <v>514.66</v>
      </c>
    </row>
    <row r="8">
      <c r="A8" s="55" t="inlineStr">
        <is>
          <t>JUSTBIOH 110 GOMAS</t>
        </is>
      </c>
      <c r="B8" s="54" t="n">
        <v>503635001600</v>
      </c>
      <c r="C8" s="559" t="n">
        <v>381.9</v>
      </c>
    </row>
    <row r="9">
      <c r="A9" s="55" t="inlineStr">
        <is>
          <t>JUSTBIOTICS 110 GOMAS</t>
        </is>
      </c>
      <c r="B9" s="54" t="n">
        <v>503635002000</v>
      </c>
      <c r="C9" s="559" t="n">
        <v>352.59</v>
      </c>
    </row>
    <row r="10">
      <c r="A10" s="55" t="inlineStr">
        <is>
          <t>JUSTCETRUX 60</t>
        </is>
      </c>
      <c r="B10" s="54" t="n">
        <v>503635003700</v>
      </c>
      <c r="C10" s="559" t="n">
        <v>83.62</v>
      </c>
    </row>
    <row r="11">
      <c r="A11" s="55" t="inlineStr">
        <is>
          <t>JUSTCOLLAGEN 111 GOMAS</t>
        </is>
      </c>
      <c r="B11" s="54" t="n">
        <v>503635001700</v>
      </c>
      <c r="C11" s="559" t="n">
        <v>336.21</v>
      </c>
    </row>
    <row r="12">
      <c r="A12" s="55" t="inlineStr">
        <is>
          <t>JUSTCOLLAGEN 180 TABS</t>
        </is>
      </c>
      <c r="B12" s="54" t="n">
        <v>503635002600</v>
      </c>
      <c r="C12" s="559" t="n">
        <v>340.52</v>
      </c>
    </row>
    <row r="13">
      <c r="A13" s="55" t="inlineStr">
        <is>
          <t>JUSTCOLLAGEN 90 TABS</t>
        </is>
      </c>
      <c r="B13" s="54" t="n">
        <v>503635000501</v>
      </c>
      <c r="C13" s="559" t="n">
        <v>220</v>
      </c>
    </row>
    <row r="14">
      <c r="A14" s="55" t="inlineStr">
        <is>
          <t>JUSTFX 120 CAPS</t>
        </is>
      </c>
      <c r="B14" s="54" t="n">
        <v>503635000705</v>
      </c>
      <c r="C14" s="559" t="n">
        <v>437.07</v>
      </c>
    </row>
    <row r="15">
      <c r="A15" s="55" t="inlineStr">
        <is>
          <t>JUSTFX 90 CAPS</t>
        </is>
      </c>
      <c r="B15" s="54" t="n">
        <v>503635000900</v>
      </c>
      <c r="C15" s="559" t="n">
        <v>343.97</v>
      </c>
    </row>
    <row r="16">
      <c r="A16" s="55" t="inlineStr">
        <is>
          <t>JUSTCALOSTRO  30 CAPS</t>
        </is>
      </c>
      <c r="B16" s="54" t="n">
        <v>503635004200</v>
      </c>
      <c r="C16" s="559" t="n">
        <v>162.9310344827586</v>
      </c>
    </row>
    <row r="17">
      <c r="A17" s="55" t="inlineStr">
        <is>
          <t>JUSTOMEGA-3 110 GOMAS</t>
        </is>
      </c>
      <c r="B17" s="54" t="n">
        <v>503635001800</v>
      </c>
      <c r="C17" s="559" t="n">
        <v>336.21</v>
      </c>
    </row>
    <row r="18">
      <c r="A18" s="55" t="inlineStr">
        <is>
          <t>PROBIOTICOS GUMMYCARE 60 GOMAS</t>
        </is>
      </c>
      <c r="B18" s="54" t="n">
        <v>503635001301</v>
      </c>
      <c r="C18" s="559" t="n">
        <v>323.28</v>
      </c>
    </row>
    <row r="19">
      <c r="A19" s="58" t="inlineStr">
        <is>
          <t>COLÁGENO+BIOTINA 120 GOMAS</t>
        </is>
      </c>
      <c r="B19" s="57" t="n">
        <v>503635004500</v>
      </c>
      <c r="C19" s="559" t="n">
        <v>248.28</v>
      </c>
    </row>
    <row r="20">
      <c r="A20" s="58" t="inlineStr">
        <is>
          <t>PROBIÓTICOS + FIBRA 120 GOMAS</t>
        </is>
      </c>
      <c r="B20" s="57" t="n">
        <v>503635004400</v>
      </c>
      <c r="C20" s="559" t="n">
        <v>249.14</v>
      </c>
    </row>
    <row r="21">
      <c r="A21" s="58" t="inlineStr">
        <is>
          <t>BIOTINA 120 GOMAS</t>
        </is>
      </c>
      <c r="B21" s="57" t="n">
        <v>503635004600</v>
      </c>
      <c r="C21" s="559" t="n">
        <v>249.14</v>
      </c>
    </row>
    <row r="22">
      <c r="A22" s="58" t="inlineStr">
        <is>
          <t>OMEGA 3 120 GOMAS</t>
        </is>
      </c>
      <c r="B22" s="57" t="n">
        <v>503635004300</v>
      </c>
      <c r="C22" s="559" t="n">
        <v>249.14</v>
      </c>
    </row>
    <row r="23">
      <c r="B23" s="15" t="n"/>
      <c r="C23" s="15" t="n"/>
    </row>
    <row r="24">
      <c r="B24" s="15" t="n"/>
      <c r="C24" s="15" t="n"/>
    </row>
    <row r="25">
      <c r="B25" s="15" t="n"/>
      <c r="C25" s="15" t="n"/>
    </row>
    <row r="26">
      <c r="B26" s="15" t="n"/>
      <c r="C26" s="15" t="n"/>
    </row>
    <row r="27">
      <c r="B27" s="15" t="n"/>
      <c r="C27" s="15" t="n"/>
    </row>
    <row r="28">
      <c r="B28" s="15" t="n"/>
      <c r="C28" s="15" t="n"/>
    </row>
    <row r="29">
      <c r="B29" s="15" t="n"/>
      <c r="C29" s="15" t="n"/>
    </row>
    <row r="30">
      <c r="B30" s="15" t="n"/>
      <c r="C30" s="15" t="n"/>
    </row>
    <row r="31">
      <c r="B31" s="15" t="n"/>
      <c r="C31" s="15" t="n"/>
    </row>
  </sheetData>
  <autoFilter ref="A2:B2"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2"/>
  <sheetViews>
    <sheetView topLeftCell="A69" workbookViewId="0">
      <selection activeCell="A14" sqref="A14:A15"/>
    </sheetView>
  </sheetViews>
  <sheetFormatPr baseColWidth="10" defaultColWidth="11.453125" defaultRowHeight="14.5"/>
  <cols>
    <col width="20.7265625" customWidth="1" min="1" max="2"/>
    <col width="23.7265625" customWidth="1" min="3" max="3"/>
    <col width="14.81640625" customWidth="1" min="4" max="5"/>
    <col width="11.26953125" customWidth="1" min="6" max="7"/>
    <col width="0.81640625" customWidth="1" min="8" max="8"/>
    <col width="8.1796875" customWidth="1" min="9" max="9"/>
    <col width="14.54296875" customWidth="1" min="10" max="10"/>
    <col width="11" customWidth="1" min="11" max="11"/>
  </cols>
  <sheetData>
    <row r="1">
      <c r="A1" s="436" t="inlineStr">
        <is>
          <t>KITS SITIO WEB:</t>
        </is>
      </c>
      <c r="D1" s="99" t="n"/>
      <c r="E1" s="99" t="n"/>
      <c r="F1" s="99" t="n"/>
      <c r="G1" s="99" t="n"/>
      <c r="H1" s="99" t="n"/>
      <c r="I1" s="99" t="n"/>
    </row>
    <row r="2" ht="15" customHeight="1" thickBot="1">
      <c r="A2" s="199" t="n"/>
      <c r="B2" s="199" t="n"/>
      <c r="C2" s="199" t="n"/>
      <c r="J2" s="560" t="n"/>
      <c r="K2" s="561" t="n"/>
    </row>
    <row r="3" ht="44" customHeight="1" thickBot="1">
      <c r="A3" s="96" t="inlineStr">
        <is>
          <t>SISTEMA</t>
        </is>
      </c>
      <c r="B3" s="96" t="inlineStr">
        <is>
          <t>CÓDIGOS</t>
        </is>
      </c>
      <c r="C3" s="94" t="inlineStr">
        <is>
          <t>PRODUCTOS</t>
        </is>
      </c>
      <c r="D3" s="95" t="inlineStr">
        <is>
          <t>Precio unitario normal</t>
        </is>
      </c>
      <c r="E3" s="132" t="inlineStr">
        <is>
          <t>Precio facturación normal</t>
        </is>
      </c>
      <c r="F3" s="94" t="inlineStr">
        <is>
          <t>Total</t>
        </is>
      </c>
      <c r="G3" s="93" t="inlineStr">
        <is>
          <t>Venta -%</t>
        </is>
      </c>
      <c r="H3" s="92" t="n"/>
      <c r="I3" s="136" t="inlineStr">
        <is>
          <t>Descuento</t>
        </is>
      </c>
      <c r="J3" s="91" t="inlineStr">
        <is>
          <t>Precio facturación (-%)</t>
        </is>
      </c>
      <c r="K3" s="90" t="inlineStr">
        <is>
          <t>Facturación Total</t>
        </is>
      </c>
    </row>
    <row r="4">
      <c r="A4" s="442" t="inlineStr">
        <is>
          <t>SISTEMA BELLEZA</t>
        </is>
      </c>
      <c r="B4" s="135" t="n">
        <v>503635000200</v>
      </c>
      <c r="C4" s="87" t="inlineStr">
        <is>
          <t>JustCollagen polvo 210 gr</t>
        </is>
      </c>
      <c r="D4" s="562" t="n">
        <v>643.5007199999999</v>
      </c>
      <c r="E4" s="563">
        <f>D4/1.16</f>
        <v/>
      </c>
      <c r="F4" s="564">
        <f>D4+D5+D6</f>
        <v/>
      </c>
      <c r="G4" s="565">
        <f>F4*0.9</f>
        <v/>
      </c>
      <c r="H4" s="566" t="n"/>
      <c r="I4" s="128" t="n">
        <v>0.1</v>
      </c>
      <c r="J4" s="567">
        <f>(D4*0.9)/1.16</f>
        <v/>
      </c>
      <c r="K4" s="568">
        <f>SUM(J4:J6)</f>
        <v/>
      </c>
    </row>
    <row r="5">
      <c r="A5" s="532" t="n"/>
      <c r="B5" s="134" t="n">
        <v>503635002600</v>
      </c>
      <c r="C5" s="83" t="inlineStr">
        <is>
          <t>JustCollagen 180 tabs</t>
        </is>
      </c>
      <c r="D5" s="569" t="n">
        <v>245.0036</v>
      </c>
      <c r="E5" s="570">
        <f>D5/1.16</f>
        <v/>
      </c>
      <c r="F5" s="524" t="n"/>
      <c r="G5" s="524" t="n"/>
      <c r="H5" s="566" t="n"/>
      <c r="I5" s="128" t="n">
        <v>0.1</v>
      </c>
      <c r="J5" s="571">
        <f>(D5*0.9)/1.16</f>
        <v/>
      </c>
      <c r="K5" s="525" t="n"/>
      <c r="L5" s="486" t="n"/>
    </row>
    <row r="6" ht="15" customHeight="1" thickBot="1">
      <c r="A6" s="523" t="n"/>
      <c r="B6" s="102" t="n">
        <v>503635001700</v>
      </c>
      <c r="C6" s="79" t="inlineStr">
        <is>
          <t>JustCollagen 111 gomitas</t>
        </is>
      </c>
      <c r="D6" s="572" t="n">
        <v>366.0031999999999</v>
      </c>
      <c r="E6" s="573">
        <f>D6/1.16</f>
        <v/>
      </c>
      <c r="F6" s="516" t="n"/>
      <c r="G6" s="516" t="n"/>
      <c r="H6" s="566" t="n"/>
      <c r="I6" s="128" t="n">
        <v>0.1</v>
      </c>
      <c r="J6" s="574">
        <f>(D6*0.9)/1.16</f>
        <v/>
      </c>
      <c r="K6" s="525" t="n"/>
      <c r="L6" s="486" t="n"/>
    </row>
    <row r="7">
      <c r="A7" s="442" t="inlineStr">
        <is>
          <t>SISTEMA DEPORTE</t>
        </is>
      </c>
      <c r="B7" s="135" t="n">
        <v>503635000900</v>
      </c>
      <c r="C7" s="87" t="inlineStr">
        <is>
          <t>JustFx 90</t>
        </is>
      </c>
      <c r="D7" s="562" t="n">
        <v>385.004</v>
      </c>
      <c r="E7" s="563">
        <f>D7/1.16</f>
        <v/>
      </c>
      <c r="F7" s="564">
        <f>D7+D8+D9</f>
        <v/>
      </c>
      <c r="G7" s="565">
        <f>F7*0.9</f>
        <v/>
      </c>
      <c r="H7" s="566" t="n"/>
      <c r="I7" s="128" t="n">
        <v>0.1</v>
      </c>
      <c r="J7" s="567">
        <f>(D7*0.9)/1.16</f>
        <v/>
      </c>
      <c r="K7" s="575">
        <f>SUM(J7:J9)</f>
        <v/>
      </c>
      <c r="L7" s="486" t="n"/>
    </row>
    <row r="8">
      <c r="A8" s="532" t="n"/>
      <c r="B8" s="134" t="n">
        <v>503635000300</v>
      </c>
      <c r="C8" s="83" t="inlineStr">
        <is>
          <t>Glucosamina 240</t>
        </is>
      </c>
      <c r="D8" s="569" t="n">
        <v>754.2064799999999</v>
      </c>
      <c r="E8" s="570">
        <f>D8/1.16</f>
        <v/>
      </c>
      <c r="F8" s="524" t="n"/>
      <c r="G8" s="524" t="n"/>
      <c r="H8" s="566" t="n"/>
      <c r="I8" s="128" t="n">
        <v>0.1</v>
      </c>
      <c r="J8" s="571">
        <f>(D8*0.9)/1.16</f>
        <v/>
      </c>
      <c r="K8" s="525" t="n"/>
      <c r="L8" s="486" t="n"/>
    </row>
    <row r="9" ht="15" customHeight="1" thickBot="1">
      <c r="A9" s="523" t="n"/>
      <c r="B9" s="102" t="n">
        <v>503635001800</v>
      </c>
      <c r="C9" s="79" t="inlineStr">
        <is>
          <t>JustOmega 3 110</t>
        </is>
      </c>
      <c r="D9" s="572" t="n">
        <v>145</v>
      </c>
      <c r="E9" s="573">
        <f>D9/1.16</f>
        <v/>
      </c>
      <c r="F9" s="516" t="n"/>
      <c r="G9" s="516" t="n"/>
      <c r="H9" s="566" t="n"/>
      <c r="I9" s="128" t="n">
        <v>0.1</v>
      </c>
      <c r="J9" s="574">
        <f>(D9*0.9)/1.16</f>
        <v/>
      </c>
      <c r="K9" s="518" t="n"/>
      <c r="L9" s="486" t="n"/>
    </row>
    <row r="10">
      <c r="A10" s="438" t="inlineStr">
        <is>
          <t>SISTEMA BEST SELLER</t>
        </is>
      </c>
      <c r="B10" s="134" t="n">
        <v>503635002600</v>
      </c>
      <c r="C10" s="89" t="inlineStr">
        <is>
          <t>JustCollagen 180 tabs</t>
        </is>
      </c>
      <c r="D10" s="569" t="n">
        <v>245.0036</v>
      </c>
      <c r="E10" s="570">
        <f>D10/1.16</f>
        <v/>
      </c>
      <c r="F10" s="564">
        <f>D10+D11</f>
        <v/>
      </c>
      <c r="G10" s="576">
        <f>F10*0.9</f>
        <v/>
      </c>
      <c r="H10" s="566" t="n"/>
      <c r="I10" s="128" t="n">
        <v>0.1</v>
      </c>
      <c r="J10" s="567">
        <f>(D10*0.9)/1.16</f>
        <v/>
      </c>
      <c r="K10" s="577">
        <f>J10+J11</f>
        <v/>
      </c>
      <c r="L10" s="486" t="n"/>
    </row>
    <row r="11" ht="15" customHeight="1" thickBot="1">
      <c r="A11" s="523" t="n"/>
      <c r="B11" s="102" t="n">
        <v>503635000705</v>
      </c>
      <c r="C11" s="79" t="inlineStr">
        <is>
          <t>JustFx 120</t>
        </is>
      </c>
      <c r="D11" s="572" t="n">
        <v>364.9997999999999</v>
      </c>
      <c r="E11" s="573">
        <f>D11/1.16</f>
        <v/>
      </c>
      <c r="F11" s="516" t="n"/>
      <c r="G11" s="516" t="n"/>
      <c r="H11" s="566" t="n"/>
      <c r="I11" s="128" t="n">
        <v>0.1</v>
      </c>
      <c r="J11" s="574">
        <f>(D11*0.9)/1.16</f>
        <v/>
      </c>
      <c r="K11" s="518" t="n"/>
      <c r="L11" s="486" t="n"/>
    </row>
    <row r="12">
      <c r="A12" s="461" t="inlineStr">
        <is>
          <t>PACK JUSTFX 120</t>
        </is>
      </c>
      <c r="B12" s="189" t="n">
        <v>503635000705</v>
      </c>
      <c r="C12" s="170" t="inlineStr">
        <is>
          <t>JustFx 120</t>
        </is>
      </c>
      <c r="D12" s="569" t="n">
        <v>364.9997999999999</v>
      </c>
      <c r="E12" s="578">
        <f>D12/1.16</f>
        <v/>
      </c>
      <c r="F12" s="564">
        <f>D12+D13</f>
        <v/>
      </c>
      <c r="G12" s="576">
        <f>F12*0.95</f>
        <v/>
      </c>
      <c r="H12" s="566" t="n"/>
      <c r="I12" s="175" t="n">
        <v>0.05</v>
      </c>
      <c r="J12" s="567">
        <f>(D12*0.95)/1.16</f>
        <v/>
      </c>
      <c r="K12" s="577">
        <f>J12+J13</f>
        <v/>
      </c>
      <c r="L12" s="486" t="n"/>
    </row>
    <row r="13" ht="15" customHeight="1" thickBot="1">
      <c r="A13" s="579" t="n"/>
      <c r="B13" s="193" t="n">
        <v>503635000705</v>
      </c>
      <c r="C13" s="172" t="inlineStr">
        <is>
          <t>JustFx 120</t>
        </is>
      </c>
      <c r="D13" s="572" t="n">
        <v>364.9997999999999</v>
      </c>
      <c r="E13" s="580">
        <f>D13/1.16</f>
        <v/>
      </c>
      <c r="F13" s="516" t="n"/>
      <c r="G13" s="516" t="n"/>
      <c r="H13" s="566" t="n"/>
      <c r="I13" s="175" t="n">
        <v>0.05</v>
      </c>
      <c r="J13" s="574">
        <f>(D13*0.95)/1.16</f>
        <v/>
      </c>
      <c r="K13" s="518" t="n"/>
      <c r="L13" s="486" t="n"/>
    </row>
    <row r="14">
      <c r="A14" s="461" t="inlineStr">
        <is>
          <t>PACK JUSTCOLLAGEN 180</t>
        </is>
      </c>
      <c r="B14" s="219" t="n">
        <v>503635002600</v>
      </c>
      <c r="C14" s="170" t="inlineStr">
        <is>
          <t>JustCollagen 180 tabs</t>
        </is>
      </c>
      <c r="D14" s="569" t="n">
        <v>245.0036</v>
      </c>
      <c r="E14" s="578">
        <f>D14/1.16</f>
        <v/>
      </c>
      <c r="F14" s="564">
        <f>D14+D15</f>
        <v/>
      </c>
      <c r="G14" s="576">
        <f>F14*0.95</f>
        <v/>
      </c>
      <c r="H14" s="566" t="n"/>
      <c r="I14" s="175" t="n">
        <v>0.05</v>
      </c>
      <c r="J14" s="567">
        <f>(D14*0.95)/1.16</f>
        <v/>
      </c>
      <c r="K14" s="577">
        <f>J14+J15</f>
        <v/>
      </c>
      <c r="L14" s="486" t="n"/>
    </row>
    <row r="15" ht="15" customHeight="1" thickBot="1">
      <c r="A15" s="579" t="n"/>
      <c r="B15" s="219" t="n">
        <v>503635002600</v>
      </c>
      <c r="C15" s="172" t="inlineStr">
        <is>
          <t>JustCollagen 180 tabs</t>
        </is>
      </c>
      <c r="D15" s="572" t="n">
        <v>245.0036</v>
      </c>
      <c r="E15" s="580">
        <f>D15/1.16</f>
        <v/>
      </c>
      <c r="F15" s="516" t="n"/>
      <c r="G15" s="516" t="n"/>
      <c r="H15" s="566" t="n"/>
      <c r="I15" s="175" t="n">
        <v>0.05</v>
      </c>
      <c r="J15" s="574">
        <f>(D15*0.95)/1.16</f>
        <v/>
      </c>
      <c r="K15" s="518" t="n"/>
      <c r="L15" s="486" t="n"/>
    </row>
    <row r="16">
      <c r="A16" s="457" t="inlineStr">
        <is>
          <t>PACK JUSTOMEGA 110 GOMAS</t>
        </is>
      </c>
      <c r="B16" s="111" t="n">
        <v>503635001800</v>
      </c>
      <c r="C16" s="89" t="inlineStr">
        <is>
          <t>JustOmega 3 110</t>
        </is>
      </c>
      <c r="D16" s="562" t="n">
        <v>390</v>
      </c>
      <c r="E16" s="570">
        <f>D16/1.16</f>
        <v/>
      </c>
      <c r="F16" s="564">
        <f>D16+D17</f>
        <v/>
      </c>
      <c r="G16" s="576">
        <f>F16*0.95</f>
        <v/>
      </c>
      <c r="H16" s="566" t="n"/>
      <c r="I16" s="128" t="n">
        <v>0.05</v>
      </c>
      <c r="J16" s="567">
        <f>(D16*0.95)/1.16</f>
        <v/>
      </c>
      <c r="K16" s="577">
        <f>J16+J17</f>
        <v/>
      </c>
      <c r="L16" s="486" t="n"/>
    </row>
    <row r="17" ht="15" customHeight="1" thickBot="1">
      <c r="A17" s="579" t="n"/>
      <c r="B17" s="112" t="n">
        <v>503635001800</v>
      </c>
      <c r="C17" s="79" t="inlineStr">
        <is>
          <t>JustOmega 3 110</t>
        </is>
      </c>
      <c r="D17" s="572" t="n">
        <v>390</v>
      </c>
      <c r="E17" s="573">
        <f>D17/1.16</f>
        <v/>
      </c>
      <c r="F17" s="516" t="n"/>
      <c r="G17" s="516" t="n"/>
      <c r="H17" s="566" t="n"/>
      <c r="I17" s="128" t="n">
        <v>0.05</v>
      </c>
      <c r="J17" s="574">
        <f>(D17*0.95)/1.16</f>
        <v/>
      </c>
      <c r="K17" s="518" t="n"/>
      <c r="L17" s="486" t="n"/>
    </row>
    <row r="18">
      <c r="A18" s="457" t="inlineStr">
        <is>
          <t>PACK JUSTBIOTICS 110 GOMAS</t>
        </is>
      </c>
      <c r="B18" s="111" t="n">
        <v>503635002000</v>
      </c>
      <c r="C18" s="89" t="inlineStr">
        <is>
          <t>JustBiotics 110</t>
        </is>
      </c>
      <c r="D18" s="569" t="n">
        <v>1078.20144</v>
      </c>
      <c r="E18" s="570">
        <f>D18/1.16</f>
        <v/>
      </c>
      <c r="F18" s="564">
        <f>D18+D19</f>
        <v/>
      </c>
      <c r="G18" s="576">
        <f>F18*0.95</f>
        <v/>
      </c>
      <c r="H18" s="566" t="n"/>
      <c r="I18" s="128" t="n">
        <v>0.05</v>
      </c>
      <c r="J18" s="567">
        <f>(D18*0.95)/1.16</f>
        <v/>
      </c>
      <c r="K18" s="577">
        <f>J18+J19</f>
        <v/>
      </c>
      <c r="L18" s="486" t="n"/>
    </row>
    <row r="19" ht="15" customHeight="1" thickBot="1">
      <c r="A19" s="579" t="n"/>
      <c r="B19" s="112" t="n">
        <v>503635002000</v>
      </c>
      <c r="C19" s="79" t="inlineStr">
        <is>
          <t>JustBiotics 110</t>
        </is>
      </c>
      <c r="D19" s="572" t="n">
        <v>1078.20144</v>
      </c>
      <c r="E19" s="573">
        <f>D19/1.16</f>
        <v/>
      </c>
      <c r="F19" s="516" t="n"/>
      <c r="G19" s="516" t="n"/>
      <c r="H19" s="566" t="n"/>
      <c r="I19" s="128" t="n">
        <v>0.05</v>
      </c>
      <c r="J19" s="574">
        <f>(D19*0.95)/1.16</f>
        <v/>
      </c>
      <c r="K19" s="518" t="n"/>
      <c r="L19" s="486" t="n"/>
    </row>
    <row r="20">
      <c r="A20" s="457" t="inlineStr">
        <is>
          <t>PACK JUSTBIO H 110 GOMAS</t>
        </is>
      </c>
      <c r="B20" s="111" t="n">
        <v>503635001600</v>
      </c>
      <c r="C20" s="89" t="inlineStr">
        <is>
          <t>JustBio H 110</t>
        </is>
      </c>
      <c r="D20" s="569" t="n">
        <v>1119.60648</v>
      </c>
      <c r="E20" s="570">
        <f>D20/1.16</f>
        <v/>
      </c>
      <c r="F20" s="564">
        <f>D20+D21</f>
        <v/>
      </c>
      <c r="G20" s="576">
        <f>F20*0.95</f>
        <v/>
      </c>
      <c r="H20" s="566" t="n"/>
      <c r="I20" s="128" t="n">
        <v>0.05</v>
      </c>
      <c r="J20" s="567">
        <f>(D20*0.95)/1.16</f>
        <v/>
      </c>
      <c r="K20" s="577">
        <f>J20+J21</f>
        <v/>
      </c>
      <c r="L20" s="486" t="n"/>
    </row>
    <row r="21" ht="15" customHeight="1" thickBot="1">
      <c r="A21" s="579" t="n"/>
      <c r="B21" s="112" t="n">
        <v>503635001600</v>
      </c>
      <c r="C21" s="79" t="inlineStr">
        <is>
          <t>JustBio H 110</t>
        </is>
      </c>
      <c r="D21" s="572" t="n">
        <v>1119.60648</v>
      </c>
      <c r="E21" s="573">
        <f>D21/1.16</f>
        <v/>
      </c>
      <c r="F21" s="516" t="n"/>
      <c r="G21" s="516" t="n"/>
      <c r="H21" s="566" t="n"/>
      <c r="I21" s="128" t="n">
        <v>0.05</v>
      </c>
      <c r="J21" s="574">
        <f>(D21*0.95)/1.16</f>
        <v/>
      </c>
      <c r="K21" s="518" t="n"/>
      <c r="L21" s="486" t="n"/>
    </row>
    <row r="22">
      <c r="A22" s="457" t="inlineStr">
        <is>
          <t>PACK JUSTCOLLAGEN 111 GOMAS</t>
        </is>
      </c>
      <c r="B22" s="111" t="n">
        <v>503635001700</v>
      </c>
      <c r="C22" s="89" t="inlineStr">
        <is>
          <t>JustCollagen 111 gomitas</t>
        </is>
      </c>
      <c r="D22" s="569" t="n">
        <v>366.0031999999999</v>
      </c>
      <c r="E22" s="570">
        <f>D22/1.16</f>
        <v/>
      </c>
      <c r="F22" s="564">
        <f>D22+D23</f>
        <v/>
      </c>
      <c r="G22" s="576">
        <f>F22*0.95</f>
        <v/>
      </c>
      <c r="H22" s="566" t="n"/>
      <c r="I22" s="128" t="n">
        <v>0.05</v>
      </c>
      <c r="J22" s="567">
        <f>(D22*0.95)/1.16</f>
        <v/>
      </c>
      <c r="K22" s="577">
        <f>J22+J23</f>
        <v/>
      </c>
      <c r="L22" s="486" t="n"/>
    </row>
    <row r="23" ht="15" customHeight="1" thickBot="1">
      <c r="A23" s="579" t="n"/>
      <c r="B23" s="112" t="n">
        <v>503635001700</v>
      </c>
      <c r="C23" s="79" t="inlineStr">
        <is>
          <t>JustCollagen 111 gomitas</t>
        </is>
      </c>
      <c r="D23" s="572" t="n">
        <v>366.0031999999999</v>
      </c>
      <c r="E23" s="573">
        <f>D23/1.16</f>
        <v/>
      </c>
      <c r="F23" s="516" t="n"/>
      <c r="G23" s="516" t="n"/>
      <c r="H23" s="566" t="n"/>
      <c r="I23" s="128" t="n">
        <v>0.05</v>
      </c>
      <c r="J23" s="574">
        <f>(D23*0.95)/1.16</f>
        <v/>
      </c>
      <c r="K23" s="518" t="n"/>
      <c r="L23" s="486" t="n"/>
    </row>
    <row r="24">
      <c r="A24" s="457" t="inlineStr">
        <is>
          <t>PACK COLÁGENO TIPO II</t>
        </is>
      </c>
      <c r="B24" s="111" t="n">
        <v>503635000606</v>
      </c>
      <c r="C24" s="89" t="inlineStr">
        <is>
          <t>Colágeno Tipo II</t>
        </is>
      </c>
      <c r="D24" s="569" t="n">
        <v>833.40432</v>
      </c>
      <c r="E24" s="570">
        <f>D24/1.16</f>
        <v/>
      </c>
      <c r="F24" s="581">
        <f>D24+D25</f>
        <v/>
      </c>
      <c r="G24" s="582">
        <f>F24*0.95</f>
        <v/>
      </c>
      <c r="H24" s="566" t="n"/>
      <c r="I24" s="128" t="n">
        <v>0.05</v>
      </c>
      <c r="J24" s="567">
        <f>(D24*0.95)/1.16</f>
        <v/>
      </c>
      <c r="K24" s="583">
        <f>J24+J25</f>
        <v/>
      </c>
      <c r="L24" s="486" t="n"/>
    </row>
    <row r="25" ht="15" customHeight="1" thickBot="1">
      <c r="A25" s="579" t="n"/>
      <c r="B25" s="114" t="n">
        <v>503635000606</v>
      </c>
      <c r="C25" s="104" t="inlineStr">
        <is>
          <t>Colágeno Tipo II</t>
        </is>
      </c>
      <c r="D25" s="569" t="n">
        <v>833.40432</v>
      </c>
      <c r="E25" s="573">
        <f>D25/1.16</f>
        <v/>
      </c>
      <c r="F25" s="524" t="n"/>
      <c r="G25" s="524" t="n"/>
      <c r="H25" s="566" t="n"/>
      <c r="I25" s="128" t="n">
        <v>0.05</v>
      </c>
      <c r="J25" s="571">
        <f>(D25*0.95)/1.16</f>
        <v/>
      </c>
      <c r="K25" s="525" t="n"/>
      <c r="L25" s="486" t="n"/>
    </row>
    <row r="26">
      <c r="A26" s="460" t="inlineStr">
        <is>
          <t>PACK GLUCOSAMINA 240</t>
        </is>
      </c>
      <c r="B26" s="113" t="n">
        <v>503635000100</v>
      </c>
      <c r="C26" s="87" t="inlineStr">
        <is>
          <t>Glucosamina 240</t>
        </is>
      </c>
      <c r="D26" s="562" t="n">
        <v>754.2064799999999</v>
      </c>
      <c r="E26" s="570">
        <f>D26/1.16</f>
        <v/>
      </c>
      <c r="F26" s="564">
        <f>D26+D27</f>
        <v/>
      </c>
      <c r="G26" s="565">
        <f>F26*0.95</f>
        <v/>
      </c>
      <c r="H26" s="566" t="n"/>
      <c r="I26" s="128" t="n">
        <v>0.05</v>
      </c>
      <c r="J26" s="567">
        <f>(D26*0.95)/1.16</f>
        <v/>
      </c>
      <c r="K26" s="575">
        <f>J26+J27</f>
        <v/>
      </c>
      <c r="L26" s="486" t="n"/>
    </row>
    <row r="27" ht="15" customHeight="1" thickBot="1">
      <c r="A27" s="579" t="n"/>
      <c r="B27" s="112" t="n">
        <v>503635000100</v>
      </c>
      <c r="C27" s="79" t="inlineStr">
        <is>
          <t>Glucosamina 240</t>
        </is>
      </c>
      <c r="D27" s="572" t="n">
        <v>754.2064799999999</v>
      </c>
      <c r="E27" s="573">
        <f>D27/1.16</f>
        <v/>
      </c>
      <c r="F27" s="516" t="n"/>
      <c r="G27" s="516" t="n"/>
      <c r="H27" s="566" t="n"/>
      <c r="I27" s="128" t="n">
        <v>0.05</v>
      </c>
      <c r="J27" s="574">
        <f>(D27*0.95)/1.16</f>
        <v/>
      </c>
      <c r="K27" s="518" t="n"/>
      <c r="L27" s="486" t="n"/>
    </row>
    <row r="28">
      <c r="A28" s="584" t="inlineStr">
        <is>
          <t>PACK COLÁGENO BIOTINA</t>
        </is>
      </c>
      <c r="B28" s="189" t="n">
        <v>503635001700</v>
      </c>
      <c r="C28" s="191" t="inlineStr">
        <is>
          <t>JustCollagen 111</t>
        </is>
      </c>
      <c r="D28" s="569" t="n">
        <v>366.0031999999999</v>
      </c>
      <c r="E28" s="578">
        <f>D28/1.16</f>
        <v/>
      </c>
      <c r="F28" s="585">
        <f>D28+D29</f>
        <v/>
      </c>
      <c r="G28" s="565">
        <f>F28*0.95</f>
        <v/>
      </c>
      <c r="H28" s="566" t="n"/>
      <c r="I28" s="175" t="n">
        <v>0.05</v>
      </c>
      <c r="J28" s="567">
        <f>(D28*0.95)/1.16</f>
        <v/>
      </c>
      <c r="K28" s="575">
        <f>J28+J29</f>
        <v/>
      </c>
      <c r="L28" s="486" t="n"/>
    </row>
    <row r="29" ht="15" customHeight="1" thickBot="1">
      <c r="A29" s="586" t="n"/>
      <c r="B29" s="190" t="n">
        <v>503635004600</v>
      </c>
      <c r="C29" s="192" t="inlineStr">
        <is>
          <t>Biotina 120 gomas</t>
        </is>
      </c>
      <c r="D29" s="572" t="n">
        <v>392.9964</v>
      </c>
      <c r="E29" s="580">
        <f>D29/1.16</f>
        <v/>
      </c>
      <c r="F29" s="516" t="n"/>
      <c r="G29" s="516" t="n"/>
      <c r="H29" s="566" t="n"/>
      <c r="I29" s="175" t="n">
        <v>0.05</v>
      </c>
      <c r="J29" s="574">
        <f>(D29*0.95)/1.16</f>
        <v/>
      </c>
      <c r="K29" s="518" t="n"/>
      <c r="L29" s="486" t="n"/>
    </row>
    <row r="30">
      <c r="A30" s="584" t="inlineStr">
        <is>
          <t>PACK PROBIÓTICOS OMEGA</t>
        </is>
      </c>
      <c r="B30" s="229" t="n">
        <v>503635004400</v>
      </c>
      <c r="C30" s="228" t="inlineStr">
        <is>
          <t>Probióticos + Fibra 120</t>
        </is>
      </c>
      <c r="D30" s="569" t="n">
        <v>145</v>
      </c>
      <c r="E30" s="578">
        <f>D30/1.16</f>
        <v/>
      </c>
      <c r="F30" s="585">
        <f>D30+D31</f>
        <v/>
      </c>
      <c r="G30" s="565">
        <f>F30*0.95</f>
        <v/>
      </c>
      <c r="H30" s="566" t="n"/>
      <c r="I30" s="175" t="n">
        <v>0.05</v>
      </c>
      <c r="J30" s="567">
        <f>(D30*0.95)/1.16</f>
        <v/>
      </c>
      <c r="K30" s="575">
        <f>J30+J31</f>
        <v/>
      </c>
      <c r="L30" s="486" t="n"/>
    </row>
    <row r="31" ht="15" customHeight="1" thickBot="1">
      <c r="A31" s="586" t="n"/>
      <c r="B31" s="190" t="n">
        <v>503635004300</v>
      </c>
      <c r="C31" s="192" t="inlineStr">
        <is>
          <t>Omega 120</t>
        </is>
      </c>
      <c r="D31" s="572" t="n">
        <v>469.9972</v>
      </c>
      <c r="E31" s="580">
        <f>D31/1.16</f>
        <v/>
      </c>
      <c r="F31" s="516" t="n"/>
      <c r="G31" s="516" t="n"/>
      <c r="H31" s="566" t="n"/>
      <c r="I31" s="175" t="n">
        <v>0.05</v>
      </c>
      <c r="J31" s="574">
        <f>(D31*0.95)/1.16</f>
        <v/>
      </c>
      <c r="K31" s="518" t="n"/>
      <c r="L31" s="486" t="n"/>
    </row>
    <row r="32">
      <c r="J32" s="486" t="n"/>
    </row>
    <row r="33">
      <c r="A33" s="436" t="inlineStr">
        <is>
          <t>KITS MERCADO LIBRE</t>
        </is>
      </c>
      <c r="D33" s="99" t="n"/>
      <c r="E33" s="99" t="n"/>
      <c r="F33" s="99" t="n"/>
      <c r="G33" s="99" t="n"/>
      <c r="H33" s="99" t="n"/>
      <c r="I33" s="99" t="n"/>
    </row>
    <row r="34" ht="15" customHeight="1" thickBot="1">
      <c r="A34" s="199" t="n"/>
      <c r="B34" s="199" t="n"/>
      <c r="C34" s="199" t="n"/>
      <c r="J34" s="560" t="n"/>
      <c r="K34" s="561" t="n"/>
    </row>
    <row r="35" ht="29.5" customHeight="1" thickBot="1">
      <c r="A35" s="96" t="inlineStr">
        <is>
          <t>SISTEMA</t>
        </is>
      </c>
      <c r="B35" s="96" t="n"/>
      <c r="C35" s="94" t="inlineStr">
        <is>
          <t>PRODUCTOS</t>
        </is>
      </c>
      <c r="D35" s="95" t="inlineStr">
        <is>
          <t>Precio unitario normal</t>
        </is>
      </c>
      <c r="E35" s="132" t="inlineStr">
        <is>
          <t>Precio facturación</t>
        </is>
      </c>
      <c r="F35" s="94" t="inlineStr">
        <is>
          <t>Total</t>
        </is>
      </c>
      <c r="G35" s="93" t="inlineStr">
        <is>
          <t>Venta -%</t>
        </is>
      </c>
      <c r="H35" s="92" t="n"/>
      <c r="I35" s="92" t="n"/>
      <c r="J35" s="91" t="inlineStr">
        <is>
          <t>Facturación por producto</t>
        </is>
      </c>
      <c r="K35" s="90" t="inlineStr">
        <is>
          <t>Facturación Total</t>
        </is>
      </c>
    </row>
    <row r="36">
      <c r="A36" s="442" t="inlineStr">
        <is>
          <t>KIT COLÁGENO</t>
        </is>
      </c>
      <c r="B36" s="88" t="n">
        <v>503635000200</v>
      </c>
      <c r="C36" s="87" t="inlineStr">
        <is>
          <t>JustCollagen polvo 210 gr</t>
        </is>
      </c>
      <c r="D36" s="562" t="n">
        <v>280.0008</v>
      </c>
      <c r="E36" s="563">
        <f>D36/1.16</f>
        <v/>
      </c>
      <c r="F36" s="564">
        <f>D36+D37+D38</f>
        <v/>
      </c>
      <c r="G36" s="565">
        <f>F36*0.9</f>
        <v/>
      </c>
      <c r="H36" s="566" t="n"/>
      <c r="I36" s="128" t="n">
        <v>0.1</v>
      </c>
      <c r="J36" s="567">
        <f>(D36*0.9)/1.16</f>
        <v/>
      </c>
      <c r="K36" s="568">
        <f>SUM(J36:J38)</f>
        <v/>
      </c>
    </row>
    <row r="37">
      <c r="A37" s="532" t="n"/>
      <c r="B37" s="84" t="n">
        <v>503635002600</v>
      </c>
      <c r="C37" s="83" t="inlineStr">
        <is>
          <t>JustCollagen 180 tabs</t>
        </is>
      </c>
      <c r="D37" s="569" t="n">
        <v>160.4976</v>
      </c>
      <c r="E37" s="570">
        <f>D37/1.16</f>
        <v/>
      </c>
      <c r="F37" s="524" t="n"/>
      <c r="G37" s="524" t="n"/>
      <c r="H37" s="566" t="n"/>
      <c r="I37" s="128" t="n">
        <v>0.1</v>
      </c>
      <c r="J37" s="571">
        <f>(D37*0.9)/1.16</f>
        <v/>
      </c>
      <c r="K37" s="525" t="n"/>
      <c r="L37" s="486" t="n"/>
    </row>
    <row r="38" ht="15" customHeight="1" thickBot="1">
      <c r="A38" s="523" t="n"/>
      <c r="B38" s="80" t="n">
        <v>503635001700</v>
      </c>
      <c r="C38" s="79" t="inlineStr">
        <is>
          <t>JustCollagen 111 gomitas</t>
        </is>
      </c>
      <c r="D38" s="572" t="n">
        <v>315.9956</v>
      </c>
      <c r="E38" s="573">
        <f>D38/1.16</f>
        <v/>
      </c>
      <c r="F38" s="516" t="n"/>
      <c r="G38" s="516" t="n"/>
      <c r="H38" s="566" t="n"/>
      <c r="I38" s="128" t="n">
        <v>0.1</v>
      </c>
      <c r="J38" s="574">
        <f>(D38*0.9)/1.16</f>
        <v/>
      </c>
      <c r="K38" s="525" t="n"/>
      <c r="L38" s="486" t="n"/>
    </row>
    <row r="39">
      <c r="A39" s="442" t="inlineStr">
        <is>
          <t>KIT DEPORTE</t>
        </is>
      </c>
      <c r="B39" s="88" t="n">
        <v>503635000900</v>
      </c>
      <c r="C39" s="87" t="inlineStr">
        <is>
          <t>JustFx 90</t>
        </is>
      </c>
      <c r="D39" s="562" t="n">
        <v>154.9992</v>
      </c>
      <c r="E39" s="563">
        <f>D39/1.16</f>
        <v/>
      </c>
      <c r="F39" s="564">
        <f>D39+D40+D41</f>
        <v/>
      </c>
      <c r="G39" s="565">
        <f>F39*0.9</f>
        <v/>
      </c>
      <c r="H39" s="566" t="n"/>
      <c r="I39" s="128" t="n">
        <v>0.1</v>
      </c>
      <c r="J39" s="567">
        <f>(D39*0.9)/1.16</f>
        <v/>
      </c>
      <c r="K39" s="575">
        <f>SUM(J39:J41)</f>
        <v/>
      </c>
      <c r="L39" s="486" t="n"/>
    </row>
    <row r="40">
      <c r="A40" s="532" t="n"/>
      <c r="B40" s="84" t="n">
        <v>503635000100</v>
      </c>
      <c r="C40" s="83" t="inlineStr">
        <is>
          <t>Glucosamina 240</t>
        </is>
      </c>
      <c r="D40" s="569" t="n">
        <v>419.0035999999999</v>
      </c>
      <c r="E40" s="570">
        <f>D40/1.16</f>
        <v/>
      </c>
      <c r="F40" s="524" t="n"/>
      <c r="G40" s="524" t="n"/>
      <c r="H40" s="566" t="n"/>
      <c r="I40" s="128" t="n">
        <v>0.1</v>
      </c>
      <c r="J40" s="571">
        <f>(D40*0.9)/1.16</f>
        <v/>
      </c>
      <c r="K40" s="525" t="n"/>
      <c r="L40" s="486" t="n"/>
    </row>
    <row r="41" ht="15" customHeight="1" thickBot="1">
      <c r="A41" s="523" t="n"/>
      <c r="B41" s="80" t="n">
        <v>503635001800</v>
      </c>
      <c r="C41" s="79" t="inlineStr">
        <is>
          <t>JustOmega 3 110</t>
        </is>
      </c>
      <c r="D41" s="572" t="n">
        <v>415.0015999999999</v>
      </c>
      <c r="E41" s="573">
        <f>D41/1.16</f>
        <v/>
      </c>
      <c r="F41" s="516" t="n"/>
      <c r="G41" s="516" t="n"/>
      <c r="H41" s="566" t="n"/>
      <c r="I41" s="128" t="n">
        <v>0.1</v>
      </c>
      <c r="J41" s="574">
        <f>(D41*0.9)/1.16</f>
        <v/>
      </c>
      <c r="K41" s="518" t="n"/>
      <c r="L41" s="486" t="n"/>
    </row>
    <row r="42">
      <c r="A42" s="438" t="inlineStr">
        <is>
          <t>KIT BEST SELLER</t>
        </is>
      </c>
      <c r="B42" s="84" t="n">
        <v>503635002600</v>
      </c>
      <c r="C42" s="89" t="inlineStr">
        <is>
          <t>JustCollagen 180 tabs</t>
        </is>
      </c>
      <c r="D42" s="569" t="n">
        <v>160.4976</v>
      </c>
      <c r="E42" s="570">
        <f>D42/1.16</f>
        <v/>
      </c>
      <c r="F42" s="564">
        <f>D42+D43</f>
        <v/>
      </c>
      <c r="G42" s="576">
        <f>F42*0.9</f>
        <v/>
      </c>
      <c r="H42" s="566" t="n"/>
      <c r="I42" s="128" t="n">
        <v>0.1</v>
      </c>
      <c r="J42" s="567">
        <f>(D42*0.9)/1.16</f>
        <v/>
      </c>
      <c r="K42" s="577">
        <f>J42+J43</f>
        <v/>
      </c>
      <c r="L42" s="486" t="n"/>
    </row>
    <row r="43" ht="15" customHeight="1" thickBot="1">
      <c r="A43" s="523" t="n"/>
      <c r="B43" s="80" t="n">
        <v>503635000705</v>
      </c>
      <c r="C43" s="79" t="inlineStr">
        <is>
          <t>JustFx 120</t>
        </is>
      </c>
      <c r="D43" s="572" t="n">
        <v>434.9999999999999</v>
      </c>
      <c r="E43" s="573">
        <f>D43/1.16</f>
        <v/>
      </c>
      <c r="F43" s="516" t="n"/>
      <c r="G43" s="516" t="n"/>
      <c r="H43" s="566" t="n"/>
      <c r="I43" s="128" t="n">
        <v>0.1</v>
      </c>
      <c r="J43" s="574">
        <f>(D43*0.9)/1.16</f>
        <v/>
      </c>
      <c r="K43" s="518" t="n"/>
      <c r="L43" s="486" t="n"/>
    </row>
    <row r="44" hidden="1" ht="18" customHeight="1" thickBot="1">
      <c r="A44" s="438" t="inlineStr">
        <is>
          <t>PACK COLÁGENO</t>
        </is>
      </c>
      <c r="B44" s="110" t="n"/>
      <c r="C44" s="87" t="inlineStr">
        <is>
          <t>JustCollagen polvo 210 gr</t>
        </is>
      </c>
      <c r="D44" s="572" t="n"/>
      <c r="E44" s="570" t="n"/>
      <c r="F44" s="564">
        <f>D44+D45</f>
        <v/>
      </c>
      <c r="G44" s="576" t="inlineStr">
        <is>
          <t>N/A</t>
        </is>
      </c>
      <c r="H44" s="566" t="n"/>
      <c r="I44" s="128" t="n">
        <v>0.1</v>
      </c>
      <c r="J44" s="567">
        <f>D44/1.16</f>
        <v/>
      </c>
      <c r="K44" s="577">
        <f>J44+J45</f>
        <v/>
      </c>
      <c r="L44" s="486" t="n"/>
    </row>
    <row r="45" hidden="1" ht="17.5" customHeight="1" thickBot="1">
      <c r="A45" s="523" t="n"/>
      <c r="B45" s="109" t="n"/>
      <c r="C45" s="79" t="inlineStr">
        <is>
          <t>JustCollagen 111 gomitas</t>
        </is>
      </c>
      <c r="D45" s="572" t="n"/>
      <c r="E45" s="573" t="n"/>
      <c r="F45" s="516" t="n"/>
      <c r="G45" s="516" t="n"/>
      <c r="H45" s="566" t="n"/>
      <c r="I45" s="128" t="n">
        <v>0.1</v>
      </c>
      <c r="J45" s="574">
        <f>D45/1.16</f>
        <v/>
      </c>
      <c r="K45" s="518" t="n"/>
      <c r="L45" s="486" t="n"/>
    </row>
    <row r="46">
      <c r="A46" s="455" t="inlineStr">
        <is>
          <t>KIT GOMAS</t>
        </is>
      </c>
      <c r="B46" s="176" t="n">
        <v>503635002000</v>
      </c>
      <c r="C46" s="177" t="inlineStr">
        <is>
          <t>JustBiotics 110 gomas</t>
        </is>
      </c>
      <c r="D46" s="562" t="n">
        <v>315.9956</v>
      </c>
      <c r="E46" s="587">
        <f>D46/1.16</f>
        <v/>
      </c>
      <c r="F46" s="564">
        <f>D46+D47+D48</f>
        <v/>
      </c>
      <c r="G46" s="565">
        <f>F46*0.9</f>
        <v/>
      </c>
      <c r="H46" s="566" t="n"/>
      <c r="I46" s="175" t="n">
        <v>0.1</v>
      </c>
      <c r="J46" s="567">
        <f>(D46*0.9)/1.16</f>
        <v/>
      </c>
      <c r="K46" s="575">
        <f>SUM(J46:J48)</f>
        <v/>
      </c>
      <c r="L46" s="486" t="n"/>
    </row>
    <row r="47">
      <c r="A47" s="532" t="n"/>
      <c r="B47" s="178" t="n">
        <v>503635001800</v>
      </c>
      <c r="C47" s="179" t="inlineStr">
        <is>
          <t>JustOmega 3 110 gomas</t>
        </is>
      </c>
      <c r="D47" s="569" t="n">
        <v>415.0015999999999</v>
      </c>
      <c r="E47" s="578">
        <f>D47/1.16</f>
        <v/>
      </c>
      <c r="F47" s="524" t="n"/>
      <c r="G47" s="524" t="n"/>
      <c r="H47" s="566" t="n"/>
      <c r="I47" s="175" t="n">
        <v>0.1</v>
      </c>
      <c r="J47" s="571">
        <f>(D47*0.9)/1.16</f>
        <v/>
      </c>
      <c r="K47" s="525" t="n"/>
      <c r="L47" s="486" t="n"/>
    </row>
    <row r="48" ht="15" customHeight="1" thickBot="1">
      <c r="A48" s="523" t="n"/>
      <c r="B48" s="171" t="n">
        <v>503635001700</v>
      </c>
      <c r="C48" s="172" t="inlineStr">
        <is>
          <t>JustCollagen 111 gomitas</t>
        </is>
      </c>
      <c r="D48" s="572" t="n">
        <v>315.9956</v>
      </c>
      <c r="E48" s="580">
        <f>D48/1.16</f>
        <v/>
      </c>
      <c r="F48" s="516" t="n"/>
      <c r="G48" s="516" t="n"/>
      <c r="H48" s="566" t="n"/>
      <c r="I48" s="175" t="n">
        <v>0.1</v>
      </c>
      <c r="J48" s="574">
        <f>(D48*0.9)/1.16</f>
        <v/>
      </c>
      <c r="K48" s="518" t="n"/>
      <c r="L48" s="486" t="n"/>
    </row>
    <row r="49">
      <c r="A49" s="447" t="inlineStr">
        <is>
          <t>KIT BEST SELLER MINI</t>
        </is>
      </c>
      <c r="B49" s="169" t="n">
        <v>503635000501</v>
      </c>
      <c r="C49" s="170" t="inlineStr">
        <is>
          <t>JustCollagen 90 tabs</t>
        </is>
      </c>
      <c r="D49" s="588" t="n">
        <v>520.0047999999999</v>
      </c>
      <c r="E49" s="578">
        <f>D49/1.16</f>
        <v/>
      </c>
      <c r="F49" s="589">
        <f>D49+D50</f>
        <v/>
      </c>
      <c r="G49" s="590">
        <f>F49*0.9</f>
        <v/>
      </c>
      <c r="H49" s="591" t="n"/>
      <c r="I49" s="175" t="n">
        <v>0.1</v>
      </c>
      <c r="J49" s="567">
        <f>(D49*0.9)/1.16</f>
        <v/>
      </c>
      <c r="K49" s="592">
        <f>J49+J50</f>
        <v/>
      </c>
      <c r="L49" s="486" t="n"/>
    </row>
    <row r="50" ht="15" customHeight="1" thickBot="1">
      <c r="A50" s="523" t="n"/>
      <c r="B50" s="171" t="n">
        <v>503635000900</v>
      </c>
      <c r="C50" s="172" t="inlineStr">
        <is>
          <t>JustFx 90</t>
        </is>
      </c>
      <c r="D50" s="593" t="n">
        <v>154.9992</v>
      </c>
      <c r="E50" s="580">
        <f>D50/1.16</f>
        <v/>
      </c>
      <c r="F50" s="516" t="n"/>
      <c r="G50" s="516" t="n"/>
      <c r="H50" s="591" t="n"/>
      <c r="I50" s="175" t="n">
        <v>0.1</v>
      </c>
      <c r="J50" s="574">
        <f>(D50*0.9)/1.16</f>
        <v/>
      </c>
      <c r="K50" s="518" t="n"/>
      <c r="L50" s="486" t="n"/>
    </row>
    <row r="51">
      <c r="A51" s="442" t="inlineStr">
        <is>
          <t>KIT ESPECIAL</t>
        </is>
      </c>
      <c r="B51" s="88" t="n">
        <v>503635000200</v>
      </c>
      <c r="C51" s="87" t="inlineStr">
        <is>
          <t>JustCollagen polvo 210 gr</t>
        </is>
      </c>
      <c r="D51" s="562" t="n">
        <v>280.0008</v>
      </c>
      <c r="E51" s="563">
        <f>D51/1.16</f>
        <v/>
      </c>
      <c r="F51" s="564">
        <f>D51+D52+D54+D53</f>
        <v/>
      </c>
      <c r="G51" s="565">
        <f>F51*0.9</f>
        <v/>
      </c>
      <c r="H51" s="566" t="n"/>
      <c r="I51" s="128" t="n">
        <v>0.1</v>
      </c>
      <c r="J51" s="567">
        <f>(D51*0.9)/1.16</f>
        <v/>
      </c>
      <c r="K51" s="575">
        <f>SUM(J51:J54)</f>
        <v/>
      </c>
      <c r="L51" s="486" t="n"/>
    </row>
    <row r="52">
      <c r="A52" s="532" t="n"/>
      <c r="B52" s="84" t="n">
        <v>503635002600</v>
      </c>
      <c r="C52" s="83" t="inlineStr">
        <is>
          <t>JustCollagen 180 tabs</t>
        </is>
      </c>
      <c r="D52" s="569" t="n">
        <v>160.4976</v>
      </c>
      <c r="E52" s="570">
        <f>D52/1.16</f>
        <v/>
      </c>
      <c r="F52" s="524" t="n"/>
      <c r="G52" s="524" t="n"/>
      <c r="H52" s="566" t="n"/>
      <c r="I52" s="128" t="n">
        <v>0.1</v>
      </c>
      <c r="J52" s="571">
        <f>(D52*0.9)/1.16</f>
        <v/>
      </c>
      <c r="K52" s="525" t="n"/>
      <c r="L52" s="594" t="n"/>
    </row>
    <row r="53">
      <c r="A53" s="532" t="n"/>
      <c r="B53" s="105" t="n">
        <v>503635001600</v>
      </c>
      <c r="C53" s="104" t="inlineStr">
        <is>
          <t>JustBio H 110 gomas</t>
        </is>
      </c>
      <c r="D53" s="569" t="n">
        <v>419.0035999999999</v>
      </c>
      <c r="E53" s="570">
        <f>D53/1.16</f>
        <v/>
      </c>
      <c r="F53" s="524" t="n"/>
      <c r="G53" s="524" t="n"/>
      <c r="H53" s="566" t="n"/>
      <c r="I53" s="128" t="n">
        <v>0.1</v>
      </c>
      <c r="J53" s="571">
        <f>(D53*0.9)/1.16</f>
        <v/>
      </c>
      <c r="K53" s="525" t="n"/>
      <c r="L53" s="486" t="n"/>
    </row>
    <row r="54" ht="15" customHeight="1" thickBot="1">
      <c r="A54" s="523" t="n"/>
      <c r="B54" s="80" t="n">
        <v>503635004400</v>
      </c>
      <c r="C54" s="79" t="inlineStr">
        <is>
          <t>Probióticos + Fibra 120</t>
        </is>
      </c>
      <c r="D54" s="572" t="n">
        <v>315.9956</v>
      </c>
      <c r="E54" s="573">
        <f>D54/1.16</f>
        <v/>
      </c>
      <c r="F54" s="516" t="n"/>
      <c r="G54" s="516" t="n"/>
      <c r="H54" s="566" t="n"/>
      <c r="I54" s="128" t="n">
        <v>0.1</v>
      </c>
      <c r="J54" s="574">
        <f>(D54*0.9)/1.16</f>
        <v/>
      </c>
      <c r="K54" s="518" t="n"/>
      <c r="L54" s="486" t="n"/>
    </row>
    <row r="55">
      <c r="A55" s="445" t="inlineStr">
        <is>
          <t>PACK JUSTOMEGA 110 GOMAS</t>
        </is>
      </c>
      <c r="B55" s="103" t="n">
        <v>503635001800</v>
      </c>
      <c r="C55" s="89" t="inlineStr">
        <is>
          <t>JustOmega 3 110</t>
        </is>
      </c>
      <c r="D55" s="569" t="n">
        <v>415.0015999999999</v>
      </c>
      <c r="E55" s="570">
        <f>D55/1.16</f>
        <v/>
      </c>
      <c r="F55" s="564">
        <f>D55+D56</f>
        <v/>
      </c>
      <c r="G55" s="576">
        <f>F55*0.95</f>
        <v/>
      </c>
      <c r="H55" s="566" t="n"/>
      <c r="I55" s="128" t="n">
        <v>0.05</v>
      </c>
      <c r="J55" s="571">
        <f>(D55*0.95)/1.16</f>
        <v/>
      </c>
      <c r="K55" s="577">
        <f>J55+J56</f>
        <v/>
      </c>
      <c r="L55" s="486" t="n"/>
    </row>
    <row r="56" ht="15" customHeight="1" thickBot="1">
      <c r="A56" s="523" t="n"/>
      <c r="B56" s="102" t="n">
        <v>503635001800</v>
      </c>
      <c r="C56" s="79" t="inlineStr">
        <is>
          <t>JustOmega 3 110</t>
        </is>
      </c>
      <c r="D56" s="572" t="n">
        <v>415.0015999999999</v>
      </c>
      <c r="E56" s="573">
        <f>D56/1.16</f>
        <v/>
      </c>
      <c r="F56" s="516" t="n"/>
      <c r="G56" s="516" t="n"/>
      <c r="H56" s="566" t="n"/>
      <c r="I56" s="128" t="n">
        <v>0.05</v>
      </c>
      <c r="J56" s="574">
        <f>(D56*0.95)/1.16</f>
        <v/>
      </c>
      <c r="K56" s="518" t="n"/>
      <c r="L56" s="486" t="n"/>
    </row>
    <row r="57">
      <c r="A57" s="445" t="inlineStr">
        <is>
          <t>PACK JUSTBIOTICS 110 GOMAS</t>
        </is>
      </c>
      <c r="B57" s="103" t="n">
        <v>503635002000</v>
      </c>
      <c r="C57" s="89" t="inlineStr">
        <is>
          <t>JustBiotics 110</t>
        </is>
      </c>
      <c r="D57" s="569" t="n">
        <v>315.9956</v>
      </c>
      <c r="E57" s="570">
        <f>D57/1.16</f>
        <v/>
      </c>
      <c r="F57" s="564">
        <f>D57+D58</f>
        <v/>
      </c>
      <c r="G57" s="576">
        <f>F57*0.95</f>
        <v/>
      </c>
      <c r="H57" s="566" t="n"/>
      <c r="I57" s="128" t="n">
        <v>0.05</v>
      </c>
      <c r="J57" s="571">
        <f>(D57*0.95)/1.16</f>
        <v/>
      </c>
      <c r="K57" s="577">
        <f>J57+J58</f>
        <v/>
      </c>
      <c r="L57" s="486" t="n"/>
    </row>
    <row r="58" ht="15" customHeight="1" thickBot="1">
      <c r="A58" s="523" t="n"/>
      <c r="B58" s="102" t="n">
        <v>503635002000</v>
      </c>
      <c r="C58" s="79" t="inlineStr">
        <is>
          <t>JustBiotics 110</t>
        </is>
      </c>
      <c r="D58" s="572" t="n">
        <v>315.9956</v>
      </c>
      <c r="E58" s="573">
        <f>D58/1.16</f>
        <v/>
      </c>
      <c r="F58" s="516" t="n"/>
      <c r="G58" s="516" t="n"/>
      <c r="H58" s="566" t="n"/>
      <c r="I58" s="128" t="n">
        <v>0.05</v>
      </c>
      <c r="J58" s="574">
        <f>(D58*0.95)/1.16</f>
        <v/>
      </c>
      <c r="K58" s="518" t="n"/>
      <c r="L58" s="486" t="n"/>
    </row>
    <row r="59">
      <c r="A59" s="445" t="inlineStr">
        <is>
          <t>PACK JUSTBIO H 110 GOMAS</t>
        </is>
      </c>
      <c r="B59" s="103" t="n">
        <v>503635001600</v>
      </c>
      <c r="C59" s="89" t="inlineStr">
        <is>
          <t>JustBio H 110</t>
        </is>
      </c>
      <c r="D59" s="569" t="n">
        <v>419.0035999999999</v>
      </c>
      <c r="E59" s="570">
        <f>D59/1.16</f>
        <v/>
      </c>
      <c r="F59" s="564">
        <f>D59+D60</f>
        <v/>
      </c>
      <c r="G59" s="576">
        <f>F59*0.95</f>
        <v/>
      </c>
      <c r="H59" s="566" t="n"/>
      <c r="I59" s="128" t="n">
        <v>0.05</v>
      </c>
      <c r="J59" s="571">
        <f>(D59*0.95)/1.16</f>
        <v/>
      </c>
      <c r="K59" s="577">
        <f>J59+J60</f>
        <v/>
      </c>
      <c r="L59" s="486" t="n"/>
    </row>
    <row r="60" ht="15" customHeight="1" thickBot="1">
      <c r="A60" s="523" t="n"/>
      <c r="B60" s="102" t="n">
        <v>503635001600</v>
      </c>
      <c r="C60" s="79" t="inlineStr">
        <is>
          <t>JustBio H 110</t>
        </is>
      </c>
      <c r="D60" s="572" t="n">
        <v>419.0035999999999</v>
      </c>
      <c r="E60" s="573">
        <f>D60/1.16</f>
        <v/>
      </c>
      <c r="F60" s="516" t="n"/>
      <c r="G60" s="516" t="n"/>
      <c r="H60" s="566" t="n"/>
      <c r="I60" s="128" t="n">
        <v>0.05</v>
      </c>
      <c r="J60" s="574">
        <f>(D60*0.95)/1.16</f>
        <v/>
      </c>
      <c r="K60" s="518" t="n"/>
      <c r="L60" s="486" t="n"/>
    </row>
    <row r="61">
      <c r="A61" s="445" t="inlineStr">
        <is>
          <t>PACK JUSTCOLLAGEN 111 GOMAS</t>
        </is>
      </c>
      <c r="B61" s="103" t="n">
        <v>503635001700</v>
      </c>
      <c r="C61" s="89" t="inlineStr">
        <is>
          <t>JustCollagen 111 gomitas</t>
        </is>
      </c>
      <c r="D61" s="569" t="n">
        <v>315.9956</v>
      </c>
      <c r="E61" s="570">
        <f>D61/1.16</f>
        <v/>
      </c>
      <c r="F61" s="564">
        <f>D61+D62</f>
        <v/>
      </c>
      <c r="G61" s="576">
        <f>F61*0.95</f>
        <v/>
      </c>
      <c r="H61" s="566" t="n"/>
      <c r="I61" s="128" t="n">
        <v>0.05</v>
      </c>
      <c r="J61" s="571">
        <f>(D61*0.95)/1.16</f>
        <v/>
      </c>
      <c r="K61" s="577">
        <f>J61+J62</f>
        <v/>
      </c>
      <c r="L61" s="486" t="n"/>
    </row>
    <row r="62" ht="15" customHeight="1" thickBot="1">
      <c r="A62" s="523" t="n"/>
      <c r="B62" s="102" t="n">
        <v>503635001700</v>
      </c>
      <c r="C62" s="79" t="inlineStr">
        <is>
          <t>JustCollagen 111 gomitas</t>
        </is>
      </c>
      <c r="D62" s="572" t="n">
        <v>315.9956</v>
      </c>
      <c r="E62" s="573">
        <f>D62/1.16</f>
        <v/>
      </c>
      <c r="F62" s="516" t="n"/>
      <c r="G62" s="516" t="n"/>
      <c r="H62" s="566" t="n"/>
      <c r="I62" s="128" t="n">
        <v>0.05</v>
      </c>
      <c r="J62" s="574">
        <f>(D62*0.95)/1.16</f>
        <v/>
      </c>
      <c r="K62" s="518" t="n"/>
      <c r="L62" s="486" t="n"/>
    </row>
    <row r="63" hidden="1" ht="15" customHeight="1" thickBot="1">
      <c r="A63" s="438" t="inlineStr">
        <is>
          <t>PACK COLÁGENO TIPO II</t>
        </is>
      </c>
      <c r="B63" s="101" t="n"/>
      <c r="C63" s="89" t="inlineStr">
        <is>
          <t>Colágeno Tipo II</t>
        </is>
      </c>
      <c r="D63" s="569" t="n"/>
      <c r="E63" s="570" t="n"/>
      <c r="F63" s="564">
        <f>D63+D64</f>
        <v/>
      </c>
      <c r="G63" s="576">
        <f>F63*0.95</f>
        <v/>
      </c>
      <c r="H63" s="566" t="n"/>
      <c r="I63" s="128" t="n">
        <v>0.05</v>
      </c>
      <c r="J63" s="571">
        <f>(D63*0.95)/1.16</f>
        <v/>
      </c>
      <c r="K63" s="577">
        <f>J63+J64</f>
        <v/>
      </c>
      <c r="L63" s="486" t="n"/>
    </row>
    <row r="64" hidden="1" ht="15" customHeight="1" thickBot="1">
      <c r="A64" s="523" t="n"/>
      <c r="B64" s="80" t="n"/>
      <c r="C64" s="79" t="inlineStr">
        <is>
          <t>Colágeno Tipo II</t>
        </is>
      </c>
      <c r="D64" s="572" t="n"/>
      <c r="E64" s="573" t="n"/>
      <c r="F64" s="516" t="n"/>
      <c r="G64" s="516" t="n"/>
      <c r="H64" s="566" t="n"/>
      <c r="I64" s="128" t="n">
        <v>0.05</v>
      </c>
      <c r="J64" s="574">
        <f>(D64*0.95)/1.16</f>
        <v/>
      </c>
      <c r="K64" s="518" t="n"/>
      <c r="L64" s="486" t="n"/>
    </row>
    <row r="65">
      <c r="A65" s="440" t="inlineStr">
        <is>
          <t>PACK GLUCOSAMINA 240</t>
        </is>
      </c>
      <c r="B65" s="185" t="n">
        <v>503635000300</v>
      </c>
      <c r="C65" s="170" t="inlineStr">
        <is>
          <t>Glucosamina 240</t>
        </is>
      </c>
      <c r="D65" s="569" t="n">
        <v>419.0035999999999</v>
      </c>
      <c r="E65" s="578">
        <f>D65/1.16</f>
        <v/>
      </c>
      <c r="F65" s="564">
        <f>D65+D66</f>
        <v/>
      </c>
      <c r="G65" s="576">
        <f>F65*0.95</f>
        <v/>
      </c>
      <c r="H65" s="566" t="n"/>
      <c r="I65" s="175" t="n">
        <v>0.05</v>
      </c>
      <c r="J65" s="571">
        <f>(D65*0.95)/1.16</f>
        <v/>
      </c>
      <c r="K65" s="577">
        <f>J65+J66</f>
        <v/>
      </c>
      <c r="L65" s="486" t="n"/>
    </row>
    <row r="66" ht="15" customHeight="1" thickBot="1">
      <c r="A66" s="523" t="n"/>
      <c r="B66" s="186" t="n">
        <v>503635000300</v>
      </c>
      <c r="C66" s="172" t="inlineStr">
        <is>
          <t>Glucosamina 240</t>
        </is>
      </c>
      <c r="D66" s="572" t="n">
        <v>419.0035999999999</v>
      </c>
      <c r="E66" s="580">
        <f>D66/1.16</f>
        <v/>
      </c>
      <c r="F66" s="516" t="n"/>
      <c r="G66" s="516" t="n"/>
      <c r="H66" s="566" t="n"/>
      <c r="I66" s="175" t="n">
        <v>0.05</v>
      </c>
      <c r="J66" s="574">
        <f>(D66*0.95)/1.16</f>
        <v/>
      </c>
      <c r="K66" s="518" t="n"/>
      <c r="L66" s="486" t="n"/>
    </row>
    <row r="67">
      <c r="A67" s="584" t="inlineStr">
        <is>
          <t>PACK COLÁGENO BIOTINA</t>
        </is>
      </c>
      <c r="B67" s="185" t="n">
        <v>503635001700</v>
      </c>
      <c r="C67" s="170" t="inlineStr">
        <is>
          <t>JustCollagen 111</t>
        </is>
      </c>
      <c r="D67" s="569" t="n">
        <v>315.9956</v>
      </c>
      <c r="E67" s="578">
        <f>D67/1.16</f>
        <v/>
      </c>
      <c r="F67" s="585">
        <f>D67+D68</f>
        <v/>
      </c>
      <c r="G67" s="576">
        <f>F67*0.95</f>
        <v/>
      </c>
      <c r="H67" s="566" t="n"/>
      <c r="I67" s="175" t="n">
        <v>0.05</v>
      </c>
      <c r="J67" s="571">
        <f>(D67*0.95)/1.16</f>
        <v/>
      </c>
      <c r="K67" s="575">
        <f>J67+J68</f>
        <v/>
      </c>
      <c r="L67" s="486" t="n"/>
    </row>
    <row r="68" ht="15" customHeight="1" thickBot="1">
      <c r="A68" s="586" t="n"/>
      <c r="B68" s="186" t="n">
        <v>503635004600</v>
      </c>
      <c r="C68" s="172" t="inlineStr">
        <is>
          <t>Biotina 120 gomas</t>
        </is>
      </c>
      <c r="D68" s="572" t="n">
        <v>160.4976</v>
      </c>
      <c r="E68" s="580">
        <f>D68/1.16</f>
        <v/>
      </c>
      <c r="F68" s="516" t="n"/>
      <c r="G68" s="516" t="n"/>
      <c r="H68" s="566" t="n"/>
      <c r="I68" s="175" t="n">
        <v>0.05</v>
      </c>
      <c r="J68" s="574">
        <f>(D68*0.95)/1.16</f>
        <v/>
      </c>
      <c r="K68" s="518" t="n"/>
      <c r="L68" s="486" t="n"/>
    </row>
    <row r="69">
      <c r="A69" s="584" t="inlineStr">
        <is>
          <t>PACK PROBIÓTICOS OMEGA</t>
        </is>
      </c>
      <c r="B69" s="169" t="n">
        <v>503635004400</v>
      </c>
      <c r="C69" s="170" t="inlineStr">
        <is>
          <t>Probióticos 120</t>
        </is>
      </c>
      <c r="D69" s="569" t="n">
        <v>315.9956</v>
      </c>
      <c r="E69" s="578">
        <f>D69/1.16</f>
        <v/>
      </c>
      <c r="F69" s="585">
        <f>D69+D70</f>
        <v/>
      </c>
      <c r="G69" s="576">
        <f>F69*0.95</f>
        <v/>
      </c>
      <c r="H69" s="566" t="n"/>
      <c r="I69" s="175" t="n">
        <v>0.05</v>
      </c>
      <c r="J69" s="571">
        <f>(D69*0.95)/1.16</f>
        <v/>
      </c>
      <c r="K69" s="575">
        <f>J69+J70</f>
        <v/>
      </c>
      <c r="L69" s="486" t="n"/>
    </row>
    <row r="70" ht="15" customHeight="1" thickBot="1">
      <c r="A70" s="586" t="n"/>
      <c r="B70" s="171" t="n">
        <v>503635004300</v>
      </c>
      <c r="C70" s="172" t="inlineStr">
        <is>
          <t>Omega 120</t>
        </is>
      </c>
      <c r="D70" s="572" t="n">
        <v>492.9999999999999</v>
      </c>
      <c r="E70" s="580">
        <f>D70/1.16</f>
        <v/>
      </c>
      <c r="F70" s="516" t="n"/>
      <c r="G70" s="516" t="n"/>
      <c r="H70" s="566" t="n"/>
      <c r="I70" s="175" t="n">
        <v>0.05</v>
      </c>
      <c r="J70" s="574">
        <f>(D70*0.95)/1.16</f>
        <v/>
      </c>
      <c r="K70" s="518" t="n"/>
      <c r="L70" s="486" t="n"/>
    </row>
    <row r="72">
      <c r="A72" s="436" t="inlineStr">
        <is>
          <t>KITS AMAZON</t>
        </is>
      </c>
      <c r="D72" s="99" t="n"/>
      <c r="E72" s="99" t="n"/>
      <c r="F72" s="595" t="n"/>
      <c r="G72" s="99" t="n"/>
      <c r="H72" s="99" t="n"/>
      <c r="I72" s="99" t="n"/>
    </row>
    <row r="73" ht="15" customHeight="1" thickBot="1">
      <c r="A73" s="199" t="n"/>
      <c r="B73" s="199" t="n"/>
      <c r="C73" s="199" t="n"/>
      <c r="J73" s="560" t="n"/>
      <c r="K73" s="561" t="n"/>
    </row>
    <row r="74" ht="44" customHeight="1" thickBot="1">
      <c r="A74" s="96" t="inlineStr">
        <is>
          <t>SISTEMA</t>
        </is>
      </c>
      <c r="B74" s="96" t="n"/>
      <c r="C74" s="94" t="inlineStr">
        <is>
          <t>PRODUCTOS</t>
        </is>
      </c>
      <c r="D74" s="95" t="inlineStr">
        <is>
          <t>Precio unitario normal</t>
        </is>
      </c>
      <c r="E74" s="132" t="inlineStr">
        <is>
          <t>Precio facturación normal</t>
        </is>
      </c>
      <c r="F74" s="94" t="inlineStr">
        <is>
          <t>Total</t>
        </is>
      </c>
      <c r="G74" s="93" t="inlineStr">
        <is>
          <t>Venta -%</t>
        </is>
      </c>
      <c r="H74" s="92" t="n"/>
      <c r="I74" s="92" t="n"/>
      <c r="J74" s="91" t="inlineStr">
        <is>
          <t>Facturación por producto</t>
        </is>
      </c>
      <c r="K74" s="90" t="inlineStr">
        <is>
          <t>Facturación Total</t>
        </is>
      </c>
    </row>
    <row r="75">
      <c r="A75" s="437" t="inlineStr">
        <is>
          <t>SISTEMA BEST SELLER</t>
        </is>
      </c>
      <c r="B75" s="84" t="n">
        <v>503635002600</v>
      </c>
      <c r="C75" s="89" t="inlineStr">
        <is>
          <t>JustCollagen 180 tabs</t>
        </is>
      </c>
      <c r="D75" s="569" t="n">
        <v>315.9956</v>
      </c>
      <c r="E75" s="570">
        <f>D75/1.16</f>
        <v/>
      </c>
      <c r="F75" s="564">
        <f>D75+D76</f>
        <v/>
      </c>
      <c r="G75" s="576">
        <f>F75*0.9</f>
        <v/>
      </c>
      <c r="H75" s="566" t="n"/>
      <c r="I75" s="128" t="n">
        <v>0.1</v>
      </c>
      <c r="J75" s="567">
        <f>(D75*0.9)/1.16</f>
        <v/>
      </c>
      <c r="K75" s="577">
        <f>J75+J76</f>
        <v/>
      </c>
    </row>
    <row r="76" ht="15" customHeight="1" thickBot="1">
      <c r="A76" s="523" t="n"/>
      <c r="B76" s="80" t="n">
        <v>503635000705</v>
      </c>
      <c r="C76" s="79" t="inlineStr">
        <is>
          <t>JustFx 120</t>
        </is>
      </c>
      <c r="D76" s="572" t="n">
        <v>397.996</v>
      </c>
      <c r="E76" s="573">
        <f>D76/1.16</f>
        <v/>
      </c>
      <c r="F76" s="516" t="n"/>
      <c r="G76" s="516" t="n"/>
      <c r="H76" s="566" t="n"/>
      <c r="I76" s="128" t="n">
        <v>0.1</v>
      </c>
      <c r="J76" s="574">
        <f>(D76*0.9)/1.16</f>
        <v/>
      </c>
      <c r="K76" s="518" t="n"/>
    </row>
    <row r="77">
      <c r="A77" s="426" t="inlineStr">
        <is>
          <t>SISTEMA BELLEZA</t>
        </is>
      </c>
      <c r="B77" s="88" t="n">
        <v>503635000200</v>
      </c>
      <c r="C77" s="87" t="inlineStr">
        <is>
          <t>JustCollagen polvo 210 gr</t>
        </is>
      </c>
      <c r="D77" s="562" t="n">
        <v>0</v>
      </c>
      <c r="E77" s="563">
        <f>D77/1.16</f>
        <v/>
      </c>
      <c r="F77" s="564">
        <f>D77+D78+D79</f>
        <v/>
      </c>
      <c r="G77" s="565">
        <f>F77*0.9</f>
        <v/>
      </c>
      <c r="H77" s="566" t="n"/>
      <c r="I77" s="128" t="n">
        <v>0.1</v>
      </c>
      <c r="J77" s="567">
        <f>(D77*0.9)/1.16</f>
        <v/>
      </c>
      <c r="K77" s="575">
        <f>SUM(J77:J79)</f>
        <v/>
      </c>
    </row>
    <row r="78">
      <c r="A78" s="532" t="n"/>
      <c r="B78" s="84" t="n">
        <v>503635002600</v>
      </c>
      <c r="C78" s="83" t="inlineStr">
        <is>
          <t>JustCollagen 180 tabs</t>
        </is>
      </c>
      <c r="D78" s="569" t="n">
        <v>315.9956</v>
      </c>
      <c r="E78" s="570">
        <f>D78/1.16</f>
        <v/>
      </c>
      <c r="F78" s="524" t="n"/>
      <c r="G78" s="524" t="n"/>
      <c r="H78" s="566" t="n"/>
      <c r="I78" s="128" t="n">
        <v>0.1</v>
      </c>
      <c r="J78" s="571">
        <f>(D78*0.9)/1.16</f>
        <v/>
      </c>
      <c r="K78" s="525" t="n"/>
    </row>
    <row r="79" ht="15" customHeight="1" thickBot="1">
      <c r="A79" s="523" t="n"/>
      <c r="B79" s="80" t="n">
        <v>503635001700</v>
      </c>
      <c r="C79" s="79" t="inlineStr">
        <is>
          <t>JustCollagen 111 gomitas</t>
        </is>
      </c>
      <c r="D79" s="572" t="n">
        <v>160.4976</v>
      </c>
      <c r="E79" s="573">
        <f>D79/1.16</f>
        <v/>
      </c>
      <c r="F79" s="516" t="n"/>
      <c r="G79" s="516" t="n"/>
      <c r="H79" s="566" t="n"/>
      <c r="I79" s="128" t="n">
        <v>0.1</v>
      </c>
      <c r="J79" s="574">
        <f>(D79*0.9)/1.16</f>
        <v/>
      </c>
      <c r="K79" s="518" t="n"/>
    </row>
    <row r="81">
      <c r="G81" s="486" t="n"/>
    </row>
    <row r="82">
      <c r="G82" s="486" t="n"/>
    </row>
  </sheetData>
  <mergeCells count="123">
    <mergeCell ref="F44:F45"/>
    <mergeCell ref="K63:K64"/>
    <mergeCell ref="K26:K27"/>
    <mergeCell ref="F59:F60"/>
    <mergeCell ref="F55:F56"/>
    <mergeCell ref="A16:A17"/>
    <mergeCell ref="G10:G11"/>
    <mergeCell ref="F18:F19"/>
    <mergeCell ref="F30:F31"/>
    <mergeCell ref="K4:K6"/>
    <mergeCell ref="F39:F41"/>
    <mergeCell ref="A1:C2"/>
    <mergeCell ref="F26:F27"/>
    <mergeCell ref="G65:G66"/>
    <mergeCell ref="F42:F43"/>
    <mergeCell ref="G49:G50"/>
    <mergeCell ref="G18:G19"/>
    <mergeCell ref="A22:A23"/>
    <mergeCell ref="K61:K62"/>
    <mergeCell ref="F28:F29"/>
    <mergeCell ref="K42:K43"/>
    <mergeCell ref="A20:A21"/>
    <mergeCell ref="G44:G45"/>
    <mergeCell ref="G22:G23"/>
    <mergeCell ref="G51:G54"/>
    <mergeCell ref="F57:F58"/>
    <mergeCell ref="G12:G13"/>
    <mergeCell ref="A59:A60"/>
    <mergeCell ref="F63:F64"/>
    <mergeCell ref="A33:C34"/>
    <mergeCell ref="K55:K56"/>
    <mergeCell ref="F16:F17"/>
    <mergeCell ref="A72:C73"/>
    <mergeCell ref="K30:K31"/>
    <mergeCell ref="A61:A62"/>
    <mergeCell ref="K39:K41"/>
    <mergeCell ref="F20:F21"/>
    <mergeCell ref="G4:G6"/>
    <mergeCell ref="A65:A66"/>
    <mergeCell ref="A4:A6"/>
    <mergeCell ref="F77:F79"/>
    <mergeCell ref="K7:K9"/>
    <mergeCell ref="F75:F76"/>
    <mergeCell ref="F22:F23"/>
    <mergeCell ref="A26:A27"/>
    <mergeCell ref="A57:A58"/>
    <mergeCell ref="G63:G64"/>
    <mergeCell ref="K57:K58"/>
    <mergeCell ref="F61:F62"/>
    <mergeCell ref="A63:A64"/>
    <mergeCell ref="A10:A11"/>
    <mergeCell ref="G26:G27"/>
    <mergeCell ref="K28:K29"/>
    <mergeCell ref="A7:A9"/>
    <mergeCell ref="G75:G76"/>
    <mergeCell ref="A49:A50"/>
    <mergeCell ref="F10:F11"/>
    <mergeCell ref="K20:K21"/>
    <mergeCell ref="F24:F25"/>
    <mergeCell ref="G67:G68"/>
    <mergeCell ref="G61:G62"/>
    <mergeCell ref="F65:F66"/>
    <mergeCell ref="K77:K79"/>
    <mergeCell ref="G42:G43"/>
    <mergeCell ref="K75:K76"/>
    <mergeCell ref="G69:G70"/>
    <mergeCell ref="K59:K60"/>
    <mergeCell ref="A12:A13"/>
    <mergeCell ref="G28:G29"/>
    <mergeCell ref="G55:G56"/>
    <mergeCell ref="G24:G25"/>
    <mergeCell ref="G46:G48"/>
    <mergeCell ref="A14:A15"/>
    <mergeCell ref="A36:A38"/>
    <mergeCell ref="F51:F54"/>
    <mergeCell ref="G30:G31"/>
    <mergeCell ref="F7:F9"/>
    <mergeCell ref="G39:G41"/>
    <mergeCell ref="G16:G17"/>
    <mergeCell ref="F49:F50"/>
    <mergeCell ref="K10:K11"/>
    <mergeCell ref="F14:F15"/>
    <mergeCell ref="F36:F38"/>
    <mergeCell ref="G7:G9"/>
    <mergeCell ref="K65:K66"/>
    <mergeCell ref="K16:K17"/>
    <mergeCell ref="A67:A68"/>
    <mergeCell ref="A51:A54"/>
    <mergeCell ref="K49:K50"/>
    <mergeCell ref="K18:K19"/>
    <mergeCell ref="A24:A25"/>
    <mergeCell ref="G57:G58"/>
    <mergeCell ref="F12:F13"/>
    <mergeCell ref="A69:A70"/>
    <mergeCell ref="F46:F48"/>
    <mergeCell ref="K44:K45"/>
    <mergeCell ref="A75:A76"/>
    <mergeCell ref="K22:K23"/>
    <mergeCell ref="K51:K54"/>
    <mergeCell ref="A55:A56"/>
    <mergeCell ref="K12:K13"/>
    <mergeCell ref="A77:A79"/>
    <mergeCell ref="A18:A19"/>
    <mergeCell ref="G20:G21"/>
    <mergeCell ref="G14:G15"/>
    <mergeCell ref="F4:F6"/>
    <mergeCell ref="G36:G38"/>
    <mergeCell ref="K67:K68"/>
    <mergeCell ref="A39:A41"/>
    <mergeCell ref="K14:K15"/>
    <mergeCell ref="K36:K38"/>
    <mergeCell ref="A42:A43"/>
    <mergeCell ref="G77:G79"/>
    <mergeCell ref="K69:K70"/>
    <mergeCell ref="G59:G60"/>
    <mergeCell ref="A44:A45"/>
    <mergeCell ref="F67:F68"/>
    <mergeCell ref="A28:A29"/>
    <mergeCell ref="K24:K25"/>
    <mergeCell ref="A46:A48"/>
    <mergeCell ref="K46:K48"/>
    <mergeCell ref="F69:F70"/>
    <mergeCell ref="A30:A31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topLeftCell="B1" zoomScale="140" zoomScaleNormal="140" workbookViewId="0">
      <selection activeCell="F4" sqref="F4"/>
    </sheetView>
  </sheetViews>
  <sheetFormatPr baseColWidth="10" defaultColWidth="11.453125" defaultRowHeight="14.5"/>
  <cols>
    <col hidden="1" width="13" customWidth="1" min="1" max="1"/>
    <col width="35.81640625" customWidth="1" min="2" max="2"/>
    <col width="6.1796875" bestFit="1" customWidth="1" min="3" max="3"/>
    <col width="10.453125" customWidth="1" min="4" max="5"/>
    <col width="9.81640625" customWidth="1" min="6" max="6"/>
    <col width="9.54296875" customWidth="1" min="7" max="7"/>
    <col width="9.7265625" customWidth="1" min="8" max="8"/>
    <col width="9.81640625" customWidth="1" style="1" min="9" max="9"/>
    <col hidden="1" width="8.453125" customWidth="1" min="10" max="10"/>
    <col width="8.26953125" customWidth="1" style="1" min="15" max="15"/>
  </cols>
  <sheetData>
    <row r="1">
      <c r="H1" s="125" t="n"/>
    </row>
    <row r="2" ht="35.5" customHeight="1" thickBot="1">
      <c r="A2" s="123" t="inlineStr">
        <is>
          <t>Código</t>
        </is>
      </c>
      <c r="B2" s="124" t="inlineStr">
        <is>
          <t>PRODUCTOS:</t>
        </is>
      </c>
      <c r="C2" s="123" t="inlineStr">
        <is>
          <t>Compra
mínima</t>
        </is>
      </c>
      <c r="D2" s="123" t="inlineStr">
        <is>
          <t>Precio unitario normal</t>
        </is>
      </c>
      <c r="E2" s="123" t="inlineStr">
        <is>
          <t>Precio unitario facturación</t>
        </is>
      </c>
      <c r="F2" s="145" t="inlineStr">
        <is>
          <t>Descuento</t>
        </is>
      </c>
      <c r="G2" s="122" t="inlineStr">
        <is>
          <t>Precio público OUTLET</t>
        </is>
      </c>
      <c r="H2" s="122" t="inlineStr">
        <is>
          <t>Precio unitario facturación</t>
        </is>
      </c>
      <c r="I2" s="144" t="inlineStr">
        <is>
          <t>2 piezas x</t>
        </is>
      </c>
      <c r="J2" s="121" t="inlineStr">
        <is>
          <t>Fecha de caducidad</t>
        </is>
      </c>
      <c r="L2" s="143" t="n"/>
      <c r="M2" s="143" t="n"/>
      <c r="N2" s="143" t="n"/>
      <c r="O2" s="143" t="n"/>
    </row>
    <row r="3">
      <c r="A3" s="119" t="n">
        <v>503635004300</v>
      </c>
      <c r="B3" s="118" t="inlineStr">
        <is>
          <t>GOMITAS OMEGA-3 &amp; DHA 120 PZS</t>
        </is>
      </c>
      <c r="C3" s="117" t="n">
        <v>2</v>
      </c>
      <c r="D3" s="596" t="n">
        <v>267</v>
      </c>
      <c r="E3" s="597">
        <f>D3/1.16</f>
        <v/>
      </c>
      <c r="F3" s="139" t="n">
        <v>-0.48</v>
      </c>
      <c r="G3" s="598">
        <f>D3*0.52</f>
        <v/>
      </c>
      <c r="H3" s="486">
        <f>G3/1.16</f>
        <v/>
      </c>
      <c r="I3" s="486">
        <f>C3*G3</f>
        <v/>
      </c>
      <c r="J3" s="115" t="n">
        <v>45292</v>
      </c>
      <c r="K3" s="486" t="n"/>
      <c r="L3" s="463" t="n"/>
      <c r="M3" s="486" t="n"/>
      <c r="N3" s="486" t="n"/>
      <c r="O3" s="141" t="n"/>
    </row>
    <row r="4">
      <c r="A4" s="119" t="n">
        <v>503635004600</v>
      </c>
      <c r="B4" s="118" t="inlineStr">
        <is>
          <t>GOMITAS BIOTINA &amp; ARANDANO 120 PZS</t>
        </is>
      </c>
      <c r="C4" s="120" t="n">
        <v>2</v>
      </c>
      <c r="D4" s="596" t="n">
        <v>267</v>
      </c>
      <c r="E4" s="597">
        <f>D4/1.16</f>
        <v/>
      </c>
      <c r="F4" s="139" t="n">
        <v>-0.48</v>
      </c>
      <c r="G4" s="598">
        <f>D4*0.52</f>
        <v/>
      </c>
      <c r="H4" s="486">
        <f>G4/1.16</f>
        <v/>
      </c>
      <c r="I4" s="486">
        <f>C4*G4</f>
        <v/>
      </c>
      <c r="J4" s="115" t="n">
        <v>45261</v>
      </c>
      <c r="K4" s="486" t="n"/>
      <c r="L4" s="463" t="n"/>
      <c r="M4" s="486" t="n"/>
      <c r="N4" s="486" t="n"/>
    </row>
    <row r="5">
      <c r="A5" s="119" t="n">
        <v>503635004400</v>
      </c>
      <c r="B5" s="118" t="inlineStr">
        <is>
          <t>GOMITAS PROBIOTICOS &amp; FIBRA 120 PZS</t>
        </is>
      </c>
      <c r="C5" s="117" t="n">
        <v>2</v>
      </c>
      <c r="D5" s="596" t="n">
        <v>267</v>
      </c>
      <c r="E5" s="597">
        <f>D5/1.16</f>
        <v/>
      </c>
      <c r="F5" s="139" t="n">
        <v>-0.48</v>
      </c>
      <c r="G5" s="598">
        <f>D5*0.52</f>
        <v/>
      </c>
      <c r="H5" s="486">
        <f>G5/1.16</f>
        <v/>
      </c>
      <c r="I5" s="486">
        <f>C5*G5</f>
        <v/>
      </c>
      <c r="J5" s="115" t="n">
        <v>45261</v>
      </c>
      <c r="K5" s="486" t="n"/>
      <c r="L5" s="463" t="n"/>
      <c r="M5" s="486" t="n"/>
      <c r="N5" s="486" t="n"/>
      <c r="O5" s="141" t="n"/>
    </row>
    <row r="6">
      <c r="A6" s="119" t="n">
        <v>503635004500</v>
      </c>
      <c r="B6" s="118" t="inlineStr">
        <is>
          <t>COLÁGENO+BIOTINA 120 GOMAS</t>
        </is>
      </c>
      <c r="C6" s="117" t="n">
        <v>2</v>
      </c>
      <c r="D6" s="596" t="n">
        <v>267</v>
      </c>
      <c r="E6" s="597">
        <f>D6/1.16</f>
        <v/>
      </c>
      <c r="F6" s="139" t="n">
        <v>-0.48</v>
      </c>
      <c r="G6" s="598">
        <f>D6*0.52</f>
        <v/>
      </c>
      <c r="H6" s="486">
        <f>G6/1.16</f>
        <v/>
      </c>
      <c r="I6" s="486">
        <f>C6*G6</f>
        <v/>
      </c>
      <c r="J6" s="115" t="n">
        <v>45261</v>
      </c>
      <c r="K6" s="486" t="n"/>
    </row>
    <row r="7">
      <c r="A7" s="119" t="n">
        <v>503635003900</v>
      </c>
      <c r="B7" s="118" t="inlineStr">
        <is>
          <t>JUSTCETRUX 180 TABLETAS</t>
        </is>
      </c>
      <c r="C7" s="117" t="n">
        <v>2</v>
      </c>
      <c r="D7" s="596" t="n"/>
      <c r="E7" s="597">
        <f>D7/1.16</f>
        <v/>
      </c>
      <c r="F7" s="142" t="n">
        <v>-0.5</v>
      </c>
      <c r="G7" s="598" t="n">
        <v>119.5003</v>
      </c>
      <c r="H7" s="486">
        <f>G7/1.16</f>
        <v/>
      </c>
      <c r="I7" s="486">
        <f>C7*G7</f>
        <v/>
      </c>
      <c r="J7" s="115" t="n">
        <v>45047</v>
      </c>
      <c r="K7" s="486" t="n"/>
      <c r="O7" s="141" t="n"/>
    </row>
    <row r="8">
      <c r="A8" s="119" t="n">
        <v>503635003700</v>
      </c>
      <c r="B8" s="118" t="inlineStr">
        <is>
          <t>JUSTCETRUX 60 TABLETAS</t>
        </is>
      </c>
      <c r="C8" s="117" t="n">
        <v>2</v>
      </c>
      <c r="D8" s="596" t="n">
        <v>89</v>
      </c>
      <c r="E8" s="597">
        <f>D8/1.16</f>
        <v/>
      </c>
      <c r="F8" s="139" t="n">
        <v>-0.16</v>
      </c>
      <c r="G8" s="598">
        <f>D8*0.84</f>
        <v/>
      </c>
      <c r="H8" s="486">
        <f>G8/1.16</f>
        <v/>
      </c>
      <c r="I8" s="486">
        <f>C8*G8</f>
        <v/>
      </c>
      <c r="J8" s="115" t="n">
        <v>45323</v>
      </c>
      <c r="K8" s="486" t="n"/>
    </row>
    <row r="9">
      <c r="A9" s="119" t="n">
        <v>503635000200</v>
      </c>
      <c r="B9" s="118" t="inlineStr">
        <is>
          <t xml:space="preserve">JUSTCOLLAGEN POLVO 210 GRS </t>
        </is>
      </c>
      <c r="C9" s="117" t="n">
        <v>2</v>
      </c>
      <c r="D9" s="596" t="n">
        <v>349</v>
      </c>
      <c r="E9" s="597">
        <f>D9/1.16</f>
        <v/>
      </c>
      <c r="F9" s="139" t="n">
        <v>-0.5</v>
      </c>
      <c r="G9" s="598">
        <f>D9*0.5</f>
        <v/>
      </c>
      <c r="H9" s="486">
        <f>G9/1.16</f>
        <v/>
      </c>
      <c r="I9" s="486">
        <f>C9*G9</f>
        <v/>
      </c>
      <c r="J9" s="115" t="n">
        <v>45200</v>
      </c>
      <c r="K9" s="486" t="n"/>
    </row>
    <row r="10">
      <c r="A10" s="119" t="n"/>
      <c r="B10" s="118" t="inlineStr">
        <is>
          <t>ARISTOCAPS 30 CAPS</t>
        </is>
      </c>
      <c r="C10" s="117" t="n">
        <v>2</v>
      </c>
      <c r="D10" s="596" t="n">
        <v>174</v>
      </c>
      <c r="E10" s="597" t="n">
        <v>174</v>
      </c>
      <c r="F10" s="139" t="n">
        <v>-0.43</v>
      </c>
      <c r="G10" s="598">
        <f>D10*0.57</f>
        <v/>
      </c>
      <c r="H10" s="486" t="n">
        <v>99.18000000000001</v>
      </c>
      <c r="I10" s="486">
        <f>C10*G10</f>
        <v/>
      </c>
      <c r="J10" s="115" t="n">
        <v>45444</v>
      </c>
      <c r="K10" s="486" t="n"/>
    </row>
    <row r="12">
      <c r="E12" s="486" t="n"/>
      <c r="F12" s="486" t="n"/>
      <c r="I12" s="138" t="n"/>
      <c r="J12" s="486" t="n"/>
    </row>
    <row r="13">
      <c r="D13" s="599" t="n"/>
      <c r="F13" s="137" t="n"/>
      <c r="G13" s="486" t="n"/>
      <c r="H13" s="463" t="n"/>
      <c r="I13" s="486" t="n"/>
      <c r="J13" s="486" t="n"/>
    </row>
    <row r="14">
      <c r="D14" s="599" t="n"/>
      <c r="E14" s="146" t="n"/>
      <c r="F14" s="137" t="n"/>
      <c r="H14" s="463" t="n"/>
      <c r="I14" s="486" t="n"/>
      <c r="J14" s="486" t="n"/>
    </row>
    <row r="15">
      <c r="F15" s="137" t="n"/>
      <c r="H15" s="463" t="n"/>
      <c r="I15" s="486" t="n"/>
      <c r="J15" s="486" t="n"/>
    </row>
    <row r="16">
      <c r="D16" s="486" t="n"/>
      <c r="E16" s="463" t="n"/>
      <c r="F16" s="137" t="n"/>
      <c r="H16" s="463" t="n"/>
      <c r="I16" s="486" t="n"/>
      <c r="J16" s="486" t="n"/>
    </row>
    <row r="17">
      <c r="D17" s="486" t="n"/>
      <c r="E17" s="486" t="n"/>
      <c r="F17" s="137" t="n"/>
      <c r="H17" s="463" t="n"/>
      <c r="I17" s="486" t="n"/>
      <c r="J17" s="486" t="n"/>
    </row>
    <row r="18">
      <c r="D18" s="486" t="n"/>
      <c r="F18" s="137" t="n"/>
      <c r="H18" s="463" t="n"/>
      <c r="I18" s="486" t="n"/>
      <c r="J18" s="486" t="n"/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5"/>
  <sheetViews>
    <sheetView zoomScale="110" zoomScaleNormal="110" workbookViewId="0">
      <pane ySplit="2" topLeftCell="A12" activePane="bottomLeft" state="frozen"/>
      <selection pane="bottomLeft" activeCell="H13" sqref="H13"/>
    </sheetView>
  </sheetViews>
  <sheetFormatPr baseColWidth="10" defaultColWidth="11.453125" defaultRowHeight="14.5"/>
  <cols>
    <col width="16.453125" bestFit="1" customWidth="1" min="1" max="1"/>
    <col width="45.54296875" bestFit="1" customWidth="1" min="2" max="2"/>
    <col width="8.81640625" customWidth="1" min="3" max="3"/>
    <col width="10" customWidth="1" min="4" max="4"/>
    <col width="11.54296875" customWidth="1" min="5" max="6"/>
    <col width="6.81640625" customWidth="1" min="7" max="7"/>
  </cols>
  <sheetData>
    <row r="1" ht="15.65" customHeight="1" thickBot="1">
      <c r="A1" s="478" t="inlineStr">
        <is>
          <t>LISTADO DE PRECIOS E-COMM</t>
        </is>
      </c>
      <c r="B1" s="479" t="n"/>
      <c r="C1" s="479" t="n"/>
      <c r="D1" s="480" t="n"/>
      <c r="E1" s="382" t="inlineStr">
        <is>
          <t>-30% Buen Fin</t>
        </is>
      </c>
      <c r="F1" s="481" t="n"/>
    </row>
    <row r="2" ht="19.5" customHeight="1" thickBot="1">
      <c r="A2" s="45" t="inlineStr">
        <is>
          <t>PLATAFORMA</t>
        </is>
      </c>
      <c r="B2" s="46" t="inlineStr">
        <is>
          <t>PRODUCTO</t>
        </is>
      </c>
      <c r="C2" s="47" t="inlineStr">
        <is>
          <t>Precio de facturación</t>
        </is>
      </c>
      <c r="D2" s="48" t="inlineStr">
        <is>
          <t>Precio de venta</t>
        </is>
      </c>
      <c r="E2" s="218" t="inlineStr">
        <is>
          <t>Precio de facturación</t>
        </is>
      </c>
      <c r="F2" s="217" t="inlineStr">
        <is>
          <t>Precio de venta</t>
        </is>
      </c>
    </row>
    <row r="3">
      <c r="A3" s="74" t="inlineStr">
        <is>
          <t>AMAZON PRIME</t>
        </is>
      </c>
      <c r="B3" s="59" t="inlineStr">
        <is>
          <t>COLAGENO EN POLVO 210 GR</t>
        </is>
      </c>
      <c r="C3" s="482">
        <f>D3/1.16</f>
        <v/>
      </c>
      <c r="D3" s="482" t="n">
        <v>385</v>
      </c>
      <c r="E3" s="485">
        <f>F3/1.16</f>
        <v/>
      </c>
      <c r="F3" s="485">
        <f>D3*0.7</f>
        <v/>
      </c>
    </row>
    <row r="4">
      <c r="A4" s="53" t="inlineStr">
        <is>
          <t>AMAZON PRIME</t>
        </is>
      </c>
      <c r="B4" s="55" t="inlineStr">
        <is>
          <t>COLAGENO TIPO II 90 CAPS</t>
        </is>
      </c>
      <c r="C4" s="482">
        <f>D4/1.16</f>
        <v/>
      </c>
      <c r="D4" s="482" t="n">
        <v>997</v>
      </c>
      <c r="E4" s="485">
        <f>F4/1.16</f>
        <v/>
      </c>
      <c r="F4" s="485">
        <f>D4*0.7</f>
        <v/>
      </c>
      <c r="H4" s="486" t="n"/>
    </row>
    <row r="5">
      <c r="A5" s="53" t="inlineStr">
        <is>
          <t>AMAZON PRIME</t>
        </is>
      </c>
      <c r="B5" s="55" t="inlineStr">
        <is>
          <t>GLUCOSAMINA / CONDROITINA BOVINO 410 TAB</t>
        </is>
      </c>
      <c r="C5" s="482">
        <f>D5/1.16</f>
        <v/>
      </c>
      <c r="D5" s="482" t="n">
        <v>943</v>
      </c>
      <c r="E5" s="485">
        <f>F5/1.16</f>
        <v/>
      </c>
      <c r="F5" s="485">
        <f>D5*0.7</f>
        <v/>
      </c>
    </row>
    <row r="6">
      <c r="A6" s="53" t="inlineStr">
        <is>
          <t>AMAZON PRIME</t>
        </is>
      </c>
      <c r="B6" s="55" t="inlineStr">
        <is>
          <t>JUSTBIOH 110 GOMAS</t>
        </is>
      </c>
      <c r="C6" s="482">
        <f>D6/1.16</f>
        <v/>
      </c>
      <c r="D6" s="482" t="n">
        <v>443</v>
      </c>
      <c r="E6" s="485">
        <f>F6/1.16</f>
        <v/>
      </c>
      <c r="F6" s="485">
        <f>D6*0.7</f>
        <v/>
      </c>
    </row>
    <row r="7">
      <c r="A7" s="53" t="inlineStr">
        <is>
          <t>AMAZON PRIME</t>
        </is>
      </c>
      <c r="B7" s="55" t="inlineStr">
        <is>
          <t>JUSTBIOTICS 110 GOMAS</t>
        </is>
      </c>
      <c r="C7" s="482">
        <f>D7/1.16</f>
        <v/>
      </c>
      <c r="D7" s="482" t="n">
        <v>409</v>
      </c>
      <c r="E7" s="485">
        <f>F7/1.16</f>
        <v/>
      </c>
      <c r="F7" s="485">
        <f>D7*0.7</f>
        <v/>
      </c>
    </row>
    <row r="8">
      <c r="A8" s="53" t="inlineStr">
        <is>
          <t>AMAZON PRIME</t>
        </is>
      </c>
      <c r="B8" s="55" t="inlineStr">
        <is>
          <t>JUSTCOLLAGEN 111 GOMAS</t>
        </is>
      </c>
      <c r="C8" s="482">
        <f>D8/1.16</f>
        <v/>
      </c>
      <c r="D8" s="482" t="n">
        <v>390</v>
      </c>
      <c r="E8" s="485">
        <f>F8/1.16</f>
        <v/>
      </c>
      <c r="F8" s="485">
        <f>D8*0.7</f>
        <v/>
      </c>
    </row>
    <row r="9">
      <c r="A9" s="53" t="inlineStr">
        <is>
          <t>AMAZON PRIME</t>
        </is>
      </c>
      <c r="B9" s="55" t="inlineStr">
        <is>
          <t>JUSTOMEGA-3 110 GOMAS</t>
        </is>
      </c>
      <c r="C9" s="482">
        <f>D9/1.16</f>
        <v/>
      </c>
      <c r="D9" s="482" t="n">
        <v>390</v>
      </c>
      <c r="E9" s="485">
        <f>F9/1.16</f>
        <v/>
      </c>
      <c r="F9" s="485">
        <f>D9*0.7</f>
        <v/>
      </c>
    </row>
    <row r="10">
      <c r="A10" s="53" t="inlineStr">
        <is>
          <t>AMAZON PRIME</t>
        </is>
      </c>
      <c r="B10" s="55" t="inlineStr">
        <is>
          <t>JUSTCOLLAGEN 180 TABS</t>
        </is>
      </c>
      <c r="C10" s="482">
        <f>D10/1.16</f>
        <v/>
      </c>
      <c r="D10" s="482" t="n">
        <v>395</v>
      </c>
      <c r="E10" s="485">
        <f>F10/1.16</f>
        <v/>
      </c>
      <c r="F10" s="485">
        <f>D10*0.7</f>
        <v/>
      </c>
    </row>
    <row r="11">
      <c r="A11" s="53" t="inlineStr">
        <is>
          <t>AMAZON PRIME</t>
        </is>
      </c>
      <c r="B11" s="55" t="inlineStr">
        <is>
          <t>JUSTFX 120 CAPS</t>
        </is>
      </c>
      <c r="C11" s="482">
        <f>D11/1.16</f>
        <v/>
      </c>
      <c r="D11" s="482" t="n">
        <v>507</v>
      </c>
      <c r="E11" s="485">
        <f>F11/1.16</f>
        <v/>
      </c>
      <c r="F11" s="485">
        <f>D11*0.7</f>
        <v/>
      </c>
    </row>
    <row r="12">
      <c r="A12" s="53" t="inlineStr">
        <is>
          <t>AMAZON PRIME</t>
        </is>
      </c>
      <c r="B12" s="55" t="inlineStr">
        <is>
          <t>PROBIOTICOS GUMMYCARE 60 GOMAS</t>
        </is>
      </c>
      <c r="C12" s="482">
        <f>D12/1.16</f>
        <v/>
      </c>
      <c r="D12" s="482" t="n">
        <v>363</v>
      </c>
      <c r="E12" s="485">
        <f>F12/1.16</f>
        <v/>
      </c>
      <c r="F12" s="485">
        <f>D12*0.7</f>
        <v/>
      </c>
    </row>
    <row r="13">
      <c r="A13" s="53" t="inlineStr">
        <is>
          <t>AMAZON PRIME</t>
        </is>
      </c>
      <c r="B13" s="58" t="inlineStr">
        <is>
          <t>COLÁGENO+BIOTINA 120 GOMAS</t>
        </is>
      </c>
      <c r="C13" s="482">
        <f>D13/1.16</f>
        <v/>
      </c>
      <c r="D13" s="482" t="n">
        <v>280</v>
      </c>
      <c r="E13" s="485">
        <f>F13/1.16</f>
        <v/>
      </c>
      <c r="F13" s="485">
        <f>D13*0.7</f>
        <v/>
      </c>
    </row>
    <row r="14">
      <c r="A14" s="53" t="inlineStr">
        <is>
          <t>AMAZON PRIME</t>
        </is>
      </c>
      <c r="B14" s="58" t="inlineStr">
        <is>
          <t>PROBIÓTICOS+FIBRA 120 GOMAS</t>
        </is>
      </c>
      <c r="C14" s="482">
        <f>D14/1.16</f>
        <v/>
      </c>
      <c r="D14" s="482" t="n">
        <v>280</v>
      </c>
      <c r="E14" s="485">
        <f>F14/1.16</f>
        <v/>
      </c>
      <c r="F14" s="485">
        <f>D14*0.7</f>
        <v/>
      </c>
    </row>
    <row r="15">
      <c r="A15" s="53" t="inlineStr">
        <is>
          <t>AMAZON PRIME</t>
        </is>
      </c>
      <c r="B15" s="58" t="inlineStr">
        <is>
          <t>OMEGA3 DHA 120 GOMAS</t>
        </is>
      </c>
      <c r="C15" s="482">
        <f>D15/1.16</f>
        <v/>
      </c>
      <c r="D15" s="482" t="n">
        <v>280</v>
      </c>
      <c r="E15" s="485">
        <f>F15/1.16</f>
        <v/>
      </c>
      <c r="F15" s="485">
        <f>D15*0.7</f>
        <v/>
      </c>
    </row>
    <row r="16" ht="15" customFormat="1" customHeight="1" s="199" thickBot="1">
      <c r="A16" s="203" t="inlineStr">
        <is>
          <t>AMAZON PRIME</t>
        </is>
      </c>
      <c r="B16" s="216" t="inlineStr">
        <is>
          <t>BIOTINA 120 GOMAS</t>
        </is>
      </c>
      <c r="C16" s="487">
        <f>D16/1.16</f>
        <v/>
      </c>
      <c r="D16" s="487" t="n">
        <v>280</v>
      </c>
      <c r="E16" s="489">
        <f>F16/1.16</f>
        <v/>
      </c>
      <c r="F16" s="489">
        <f>D16*0.7</f>
        <v/>
      </c>
    </row>
    <row r="17">
      <c r="A17" s="215" t="inlineStr">
        <is>
          <t>AMAZON VENDEDOR</t>
        </is>
      </c>
      <c r="B17" s="214" t="inlineStr">
        <is>
          <t>COLAGENO EN POLVO 210 GR</t>
        </is>
      </c>
      <c r="C17" s="490">
        <f>D17/1.16</f>
        <v/>
      </c>
      <c r="D17" s="482" t="n">
        <v>366</v>
      </c>
      <c r="E17" s="485">
        <f>F17/1.16</f>
        <v/>
      </c>
      <c r="F17" s="485">
        <f>D17*0.7</f>
        <v/>
      </c>
    </row>
    <row r="18">
      <c r="A18" s="210" t="inlineStr">
        <is>
          <t>AMAZON VENDEDOR</t>
        </is>
      </c>
      <c r="B18" s="213" t="inlineStr">
        <is>
          <t>COLAGENO TIPO II 90 CAPS</t>
        </is>
      </c>
      <c r="C18" s="490">
        <f>D18/1.16</f>
        <v/>
      </c>
      <c r="D18" s="482" t="n">
        <v>1063</v>
      </c>
      <c r="E18" s="485">
        <f>F18/1.16</f>
        <v/>
      </c>
      <c r="F18" s="485">
        <f>D18*0.7</f>
        <v/>
      </c>
    </row>
    <row r="19">
      <c r="A19" s="210" t="inlineStr">
        <is>
          <t>AMAZON VENDEDOR</t>
        </is>
      </c>
      <c r="B19" s="213" t="inlineStr">
        <is>
          <t>COLAGENO TIPO II 30 CAPS</t>
        </is>
      </c>
      <c r="C19" s="490">
        <f>D19/1.16</f>
        <v/>
      </c>
      <c r="D19" s="482" t="n">
        <v>529.01</v>
      </c>
      <c r="E19" s="485">
        <f>F19/1.16</f>
        <v/>
      </c>
      <c r="F19" s="485">
        <f>D19*0.7</f>
        <v/>
      </c>
    </row>
    <row r="20">
      <c r="A20" s="210" t="inlineStr">
        <is>
          <t>AMAZON VENDEDOR</t>
        </is>
      </c>
      <c r="B20" s="213" t="inlineStr">
        <is>
          <t>GLUCOSAMINA / CONDROITINA BOVINO 410 TAB</t>
        </is>
      </c>
      <c r="C20" s="490">
        <f>D20/1.16</f>
        <v/>
      </c>
      <c r="D20" s="482" t="n">
        <v>943</v>
      </c>
      <c r="E20" s="485">
        <f>F20/1.16</f>
        <v/>
      </c>
      <c r="F20" s="485">
        <f>D20*0.7</f>
        <v/>
      </c>
    </row>
    <row r="21">
      <c r="A21" s="210" t="inlineStr">
        <is>
          <t>AMAZON VENDEDOR</t>
        </is>
      </c>
      <c r="B21" s="213" t="inlineStr">
        <is>
          <t>JUSTBIOTICS 110 GOMAS</t>
        </is>
      </c>
      <c r="C21" s="490">
        <f>D21/1.16</f>
        <v/>
      </c>
      <c r="D21" s="482" t="n">
        <v>409</v>
      </c>
      <c r="E21" s="485">
        <f>F21/1.16</f>
        <v/>
      </c>
      <c r="F21" s="485">
        <f>D21*0.7</f>
        <v/>
      </c>
    </row>
    <row r="22">
      <c r="A22" s="210" t="inlineStr">
        <is>
          <t>AMAZON VENDEDOR</t>
        </is>
      </c>
      <c r="B22" s="213" t="inlineStr">
        <is>
          <t>JUSTCETRUX 180</t>
        </is>
      </c>
      <c r="C22" s="490">
        <f>D22/1.16</f>
        <v/>
      </c>
      <c r="D22" s="482" t="n">
        <v>199</v>
      </c>
      <c r="E22" s="485">
        <f>F22/1.16</f>
        <v/>
      </c>
      <c r="F22" s="485">
        <f>D22*0.7</f>
        <v/>
      </c>
    </row>
    <row r="23">
      <c r="A23" s="210" t="inlineStr">
        <is>
          <t>AMAZON VENDEDOR</t>
        </is>
      </c>
      <c r="B23" s="213" t="inlineStr">
        <is>
          <t>JUSTCOLLAGEN 111 GOMAS</t>
        </is>
      </c>
      <c r="C23" s="490">
        <f>D23/1.16</f>
        <v/>
      </c>
      <c r="D23" s="482" t="n">
        <v>390</v>
      </c>
      <c r="E23" s="485">
        <f>F23/1.16</f>
        <v/>
      </c>
      <c r="F23" s="485">
        <f>D23*0.7</f>
        <v/>
      </c>
    </row>
    <row r="24">
      <c r="A24" s="210" t="inlineStr">
        <is>
          <t>AMAZON VENDEDOR</t>
        </is>
      </c>
      <c r="B24" s="213" t="inlineStr">
        <is>
          <t>JUSTBIOH 110 GOMAS</t>
        </is>
      </c>
      <c r="C24" s="490">
        <f>D24/1.16</f>
        <v/>
      </c>
      <c r="D24" s="482" t="n">
        <v>443</v>
      </c>
      <c r="E24" s="485">
        <f>F24/1.16</f>
        <v/>
      </c>
      <c r="F24" s="485">
        <f>D24*0.7</f>
        <v/>
      </c>
    </row>
    <row r="25">
      <c r="A25" s="210" t="inlineStr">
        <is>
          <t>AMAZON VENDEDOR</t>
        </is>
      </c>
      <c r="B25" s="213" t="inlineStr">
        <is>
          <t>JUSTCOLLAGEN 180 TABS</t>
        </is>
      </c>
      <c r="C25" s="490">
        <f>D25/1.16</f>
        <v/>
      </c>
      <c r="D25" s="482" t="n">
        <v>395</v>
      </c>
      <c r="E25" s="485">
        <f>F25/1.16</f>
        <v/>
      </c>
      <c r="F25" s="485">
        <f>D25*0.7</f>
        <v/>
      </c>
    </row>
    <row r="26">
      <c r="A26" s="210" t="inlineStr">
        <is>
          <t>AMAZON VENDEDOR</t>
        </is>
      </c>
      <c r="B26" s="213" t="inlineStr">
        <is>
          <t>JUSTCOLLAGEN 90 TABS</t>
        </is>
      </c>
      <c r="C26" s="490">
        <f>D26/1.16</f>
        <v/>
      </c>
      <c r="D26" s="482" t="n">
        <v>247</v>
      </c>
      <c r="E26" s="485">
        <f>F26/1.16</f>
        <v/>
      </c>
      <c r="F26" s="485">
        <f>D26*0.7</f>
        <v/>
      </c>
    </row>
    <row r="27">
      <c r="A27" s="210" t="inlineStr">
        <is>
          <t>AMAZON VENDEDOR</t>
        </is>
      </c>
      <c r="B27" s="213" t="inlineStr">
        <is>
          <t>JUSTFX 120 CAPS</t>
        </is>
      </c>
      <c r="C27" s="490">
        <f>D27/1.16</f>
        <v/>
      </c>
      <c r="D27" s="482" t="n">
        <v>507</v>
      </c>
      <c r="E27" s="485">
        <f>F27/1.16</f>
        <v/>
      </c>
      <c r="F27" s="485">
        <f>D27*0.7</f>
        <v/>
      </c>
    </row>
    <row r="28">
      <c r="A28" s="210" t="inlineStr">
        <is>
          <t>AMAZON VENDEDOR</t>
        </is>
      </c>
      <c r="B28" s="213" t="inlineStr">
        <is>
          <t>JUSTFX 90 CAPS</t>
        </is>
      </c>
      <c r="C28" s="490">
        <f>D28/1.16</f>
        <v/>
      </c>
      <c r="D28" s="482" t="n">
        <v>390</v>
      </c>
      <c r="E28" s="485">
        <f>F28/1.16</f>
        <v/>
      </c>
      <c r="F28" s="485">
        <f>D28*0.7</f>
        <v/>
      </c>
    </row>
    <row r="29">
      <c r="A29" s="210" t="inlineStr">
        <is>
          <t>AMAZON VENDEDOR</t>
        </is>
      </c>
      <c r="B29" s="213" t="inlineStr">
        <is>
          <t>JUSTOMEGA-3 110 GOMAS</t>
        </is>
      </c>
      <c r="C29" s="490">
        <f>D29/1.16</f>
        <v/>
      </c>
      <c r="D29" s="482" t="n">
        <v>390</v>
      </c>
      <c r="E29" s="485">
        <f>F29/1.16</f>
        <v/>
      </c>
      <c r="F29" s="485">
        <f>D29*0.7</f>
        <v/>
      </c>
    </row>
    <row r="30">
      <c r="A30" s="210" t="inlineStr">
        <is>
          <t>AMAZON VENDEDOR</t>
        </is>
      </c>
      <c r="B30" s="213" t="inlineStr">
        <is>
          <t>JUSTCETRUX 180</t>
        </is>
      </c>
      <c r="C30" s="490">
        <f>D30/1.16</f>
        <v/>
      </c>
      <c r="D30" s="482" t="n">
        <v>199</v>
      </c>
      <c r="E30" s="485">
        <f>F30/1.16</f>
        <v/>
      </c>
      <c r="F30" s="485">
        <f>D30*0.7</f>
        <v/>
      </c>
    </row>
    <row r="31">
      <c r="A31" s="210" t="inlineStr">
        <is>
          <t>AMAZON VENDEDOR</t>
        </is>
      </c>
      <c r="B31" s="213" t="inlineStr">
        <is>
          <t>PROBIOTICOS GUMMYCARE 60 GOMAS</t>
        </is>
      </c>
      <c r="C31" s="490">
        <f>D31/1.16</f>
        <v/>
      </c>
      <c r="D31" s="482" t="n">
        <v>363</v>
      </c>
      <c r="E31" s="485">
        <f>F31/1.16</f>
        <v/>
      </c>
      <c r="F31" s="485">
        <f>D31*0.7</f>
        <v/>
      </c>
    </row>
    <row r="32">
      <c r="A32" s="210" t="inlineStr">
        <is>
          <t>AMAZON VENDEDOR</t>
        </is>
      </c>
      <c r="B32" s="204" t="inlineStr">
        <is>
          <t>COLÁGENO+BIOTINA 120 GOMAS</t>
        </is>
      </c>
      <c r="C32" s="490">
        <f>D32/1.16</f>
        <v/>
      </c>
      <c r="D32" s="482" t="n">
        <v>279</v>
      </c>
      <c r="E32" s="485">
        <f>F32/1.16</f>
        <v/>
      </c>
      <c r="F32" s="485">
        <f>D32*0.7</f>
        <v/>
      </c>
    </row>
    <row r="33">
      <c r="A33" s="210" t="inlineStr">
        <is>
          <t>AMAZON VENDEDOR</t>
        </is>
      </c>
      <c r="B33" s="204" t="inlineStr">
        <is>
          <t>OMEGA3 DHA 120 GOMAS</t>
        </is>
      </c>
      <c r="C33" s="490">
        <f>D33/1.16</f>
        <v/>
      </c>
      <c r="D33" s="482" t="n">
        <v>280</v>
      </c>
      <c r="E33" s="485">
        <f>F33/1.16</f>
        <v/>
      </c>
      <c r="F33" s="485">
        <f>D33*0.7</f>
        <v/>
      </c>
    </row>
    <row r="34">
      <c r="A34" s="212" t="inlineStr">
        <is>
          <t>AMAZON VENDEDOR</t>
        </is>
      </c>
      <c r="B34" s="211" t="inlineStr">
        <is>
          <t>BIOTINA 120 GOMAS</t>
        </is>
      </c>
      <c r="C34" s="490">
        <f>D34/1.16</f>
        <v/>
      </c>
      <c r="D34" s="482" t="n">
        <v>280</v>
      </c>
      <c r="E34" s="485">
        <f>F34/1.16</f>
        <v/>
      </c>
      <c r="F34" s="485">
        <f>D34*0.7</f>
        <v/>
      </c>
    </row>
    <row r="35">
      <c r="A35" s="210" t="inlineStr">
        <is>
          <t>AMAZON VENDEDOR</t>
        </is>
      </c>
      <c r="B35" s="198" t="inlineStr">
        <is>
          <t>JUSTOLFOCUS 90 CAPS</t>
        </is>
      </c>
      <c r="C35" s="490">
        <f>D35/1.16</f>
        <v/>
      </c>
      <c r="D35" s="482" t="n">
        <v>493</v>
      </c>
      <c r="E35" s="485">
        <f>F35/1.16</f>
        <v/>
      </c>
      <c r="F35" s="485">
        <f>D35*0.7</f>
        <v/>
      </c>
    </row>
    <row r="36" ht="15" customFormat="1" customHeight="1" s="199" thickBot="1">
      <c r="A36" s="208" t="inlineStr">
        <is>
          <t>AMAZON VENDEDOR</t>
        </is>
      </c>
      <c r="B36" s="207" t="inlineStr">
        <is>
          <t>KIT BEST SELLER (-10%)</t>
        </is>
      </c>
      <c r="C36" s="491">
        <f>D36/1.16</f>
        <v/>
      </c>
      <c r="D36" s="487" t="n">
        <v>811.8</v>
      </c>
      <c r="E36" s="554" t="inlineStr">
        <is>
          <t>-</t>
        </is>
      </c>
      <c r="F36" s="554" t="inlineStr">
        <is>
          <t>-</t>
        </is>
      </c>
    </row>
    <row r="37">
      <c r="A37" s="49" t="inlineStr">
        <is>
          <t>MERCADO LIBRE</t>
        </is>
      </c>
      <c r="B37" s="51" t="inlineStr">
        <is>
          <t>COLAGENO EN POLVO 210 GR</t>
        </is>
      </c>
      <c r="C37" s="482">
        <f>D37/1.16</f>
        <v/>
      </c>
      <c r="D37" s="482" t="n">
        <v>379</v>
      </c>
      <c r="E37" s="485">
        <f>F37/1.16</f>
        <v/>
      </c>
      <c r="F37" s="485">
        <f>D37*0.7</f>
        <v/>
      </c>
    </row>
    <row r="38">
      <c r="A38" s="53" t="inlineStr">
        <is>
          <t>MERCADO LIBRE</t>
        </is>
      </c>
      <c r="B38" s="55" t="inlineStr">
        <is>
          <t>COLAGENO TIPO II 90 CAPS</t>
        </is>
      </c>
      <c r="C38" s="482">
        <f>D38/1.16</f>
        <v/>
      </c>
      <c r="D38" s="482" t="n">
        <v>1063</v>
      </c>
      <c r="E38" s="485">
        <f>F38/1.16</f>
        <v/>
      </c>
      <c r="F38" s="485">
        <f>D38*0.7</f>
        <v/>
      </c>
    </row>
    <row r="39">
      <c r="A39" s="53" t="inlineStr">
        <is>
          <t>MERCADO LIBRE</t>
        </is>
      </c>
      <c r="B39" s="55" t="inlineStr">
        <is>
          <t>COLAGENO TIPO II 30 CAPS</t>
        </is>
      </c>
      <c r="C39" s="482">
        <f>D39/1.16</f>
        <v/>
      </c>
      <c r="D39" s="482" t="n">
        <v>547</v>
      </c>
      <c r="E39" s="485">
        <f>F39/1.16</f>
        <v/>
      </c>
      <c r="F39" s="485">
        <f>D39*0.7</f>
        <v/>
      </c>
    </row>
    <row r="40">
      <c r="A40" s="53" t="inlineStr">
        <is>
          <t>MERCADO LIBRE</t>
        </is>
      </c>
      <c r="B40" s="55" t="inlineStr">
        <is>
          <t>GLUCOSAMINA / CONDROITINA BOVINO 410 TAB</t>
        </is>
      </c>
      <c r="C40" s="482">
        <f>D40/1.16</f>
        <v/>
      </c>
      <c r="D40" s="482" t="n">
        <v>943</v>
      </c>
      <c r="E40" s="485">
        <f>F40/1.16</f>
        <v/>
      </c>
      <c r="F40" s="485">
        <f>D40*0.7</f>
        <v/>
      </c>
    </row>
    <row r="41">
      <c r="A41" s="53" t="inlineStr">
        <is>
          <t>MERCADO LIBRE</t>
        </is>
      </c>
      <c r="B41" s="55" t="inlineStr">
        <is>
          <t>GLUCOSAMINA / CONDROITINA TIBURON 240 TA</t>
        </is>
      </c>
      <c r="C41" s="482">
        <f>D41/1.16</f>
        <v/>
      </c>
      <c r="D41" s="482" t="n">
        <v>597.01</v>
      </c>
      <c r="E41" s="485">
        <f>F41/1.16</f>
        <v/>
      </c>
      <c r="F41" s="485">
        <f>D41*0.7</f>
        <v/>
      </c>
    </row>
    <row r="42">
      <c r="A42" s="53" t="inlineStr">
        <is>
          <t>MERCADO LIBRE</t>
        </is>
      </c>
      <c r="B42" s="55" t="inlineStr">
        <is>
          <t>JUSTBIOH 110 GOMAS</t>
        </is>
      </c>
      <c r="C42" s="482">
        <f>D42/1.16</f>
        <v/>
      </c>
      <c r="D42" s="482" t="n">
        <v>443</v>
      </c>
      <c r="E42" s="485">
        <f>F42/1.16</f>
        <v/>
      </c>
      <c r="F42" s="485">
        <f>D42*0.7</f>
        <v/>
      </c>
    </row>
    <row r="43">
      <c r="A43" s="53" t="inlineStr">
        <is>
          <t>MERCADO LIBRE</t>
        </is>
      </c>
      <c r="B43" s="55" t="inlineStr">
        <is>
          <t>JUSTBIOTICS 110 GOMAS</t>
        </is>
      </c>
      <c r="C43" s="482">
        <f>D43/1.16</f>
        <v/>
      </c>
      <c r="D43" s="482" t="n">
        <v>409</v>
      </c>
      <c r="E43" s="485">
        <f>F43/1.16</f>
        <v/>
      </c>
      <c r="F43" s="485">
        <f>D43*0.7</f>
        <v/>
      </c>
    </row>
    <row r="44">
      <c r="A44" s="53" t="inlineStr">
        <is>
          <t>MERCADO LIBRE</t>
        </is>
      </c>
      <c r="B44" s="55" t="inlineStr">
        <is>
          <t>JUSTCETRUX 180</t>
        </is>
      </c>
      <c r="C44" s="552" t="n">
        <v>219.83</v>
      </c>
      <c r="D44" s="482" t="n">
        <v>199</v>
      </c>
      <c r="E44" s="485">
        <f>F44/1.16</f>
        <v/>
      </c>
      <c r="F44" s="485">
        <f>D44*0.7</f>
        <v/>
      </c>
    </row>
    <row r="45">
      <c r="A45" s="53" t="inlineStr">
        <is>
          <t>MERCADO LIBRE</t>
        </is>
      </c>
      <c r="B45" s="55" t="inlineStr">
        <is>
          <t>JUSTCETRUX 60</t>
        </is>
      </c>
      <c r="C45" s="552" t="n">
        <v>107.76</v>
      </c>
      <c r="D45" s="482" t="n">
        <v>97</v>
      </c>
      <c r="E45" s="555" t="inlineStr">
        <is>
          <t>-</t>
        </is>
      </c>
      <c r="F45" s="555" t="inlineStr">
        <is>
          <t>-</t>
        </is>
      </c>
    </row>
    <row r="46">
      <c r="A46" s="53" t="inlineStr">
        <is>
          <t>MERCADO LIBRE</t>
        </is>
      </c>
      <c r="B46" s="55" t="inlineStr">
        <is>
          <t>JUSTCOLLAGEN 111 GOMAS</t>
        </is>
      </c>
      <c r="C46" s="482">
        <f>D46/1.16</f>
        <v/>
      </c>
      <c r="D46" s="482" t="n">
        <v>390</v>
      </c>
      <c r="E46" s="485">
        <f>F46/1.16</f>
        <v/>
      </c>
      <c r="F46" s="485">
        <f>D46*0.7</f>
        <v/>
      </c>
    </row>
    <row r="47">
      <c r="A47" s="53" t="inlineStr">
        <is>
          <t>MERCADO LIBRE</t>
        </is>
      </c>
      <c r="B47" s="55" t="inlineStr">
        <is>
          <t>JUSTCOLLAGEN 180 TABS</t>
        </is>
      </c>
      <c r="C47" s="482">
        <f>D47/1.16</f>
        <v/>
      </c>
      <c r="D47" s="482" t="n">
        <v>395</v>
      </c>
      <c r="E47" s="485">
        <f>F47/1.16</f>
        <v/>
      </c>
      <c r="F47" s="485">
        <f>D47*0.7</f>
        <v/>
      </c>
    </row>
    <row r="48">
      <c r="A48" s="53" t="inlineStr">
        <is>
          <t>MERCADO LIBRE</t>
        </is>
      </c>
      <c r="B48" s="55" t="inlineStr">
        <is>
          <t>JUSTCOLLAGEN 90 TABS</t>
        </is>
      </c>
      <c r="C48" s="482">
        <f>D48/1.16</f>
        <v/>
      </c>
      <c r="D48" s="482" t="n">
        <v>255.2</v>
      </c>
      <c r="E48" s="485">
        <f>F48/1.16</f>
        <v/>
      </c>
      <c r="F48" s="485">
        <f>D48*0.7</f>
        <v/>
      </c>
      <c r="I48" s="486" t="n"/>
    </row>
    <row r="49">
      <c r="A49" s="53" t="inlineStr">
        <is>
          <t>MERCADO LIBRE</t>
        </is>
      </c>
      <c r="B49" s="55" t="inlineStr">
        <is>
          <t>JUSTFX 120 CAPS</t>
        </is>
      </c>
      <c r="C49" s="482">
        <f>D49/1.16</f>
        <v/>
      </c>
      <c r="D49" s="482" t="n">
        <v>507</v>
      </c>
      <c r="E49" s="485">
        <f>F49/1.16</f>
        <v/>
      </c>
      <c r="F49" s="485">
        <f>D49*0.7</f>
        <v/>
      </c>
      <c r="I49" s="486" t="n"/>
    </row>
    <row r="50">
      <c r="A50" s="53" t="inlineStr">
        <is>
          <t>MERCADO LIBRE</t>
        </is>
      </c>
      <c r="B50" s="55" t="inlineStr">
        <is>
          <t>JUSTFX 90 CAPS</t>
        </is>
      </c>
      <c r="C50" s="482">
        <f>D50/1.16</f>
        <v/>
      </c>
      <c r="D50" s="482" t="n">
        <v>399.01</v>
      </c>
      <c r="E50" s="485">
        <f>F50/1.16</f>
        <v/>
      </c>
      <c r="F50" s="485">
        <f>D50*0.7</f>
        <v/>
      </c>
      <c r="I50" s="486" t="n"/>
    </row>
    <row r="51">
      <c r="A51" s="53" t="inlineStr">
        <is>
          <t>MERCADO LIBRE</t>
        </is>
      </c>
      <c r="B51" s="198" t="inlineStr">
        <is>
          <t>JUSTOLFOCUS 90 CAPS</t>
        </is>
      </c>
      <c r="C51" s="482">
        <f>D51/1.16</f>
        <v/>
      </c>
      <c r="D51" s="482" t="n">
        <v>493</v>
      </c>
      <c r="E51" s="485">
        <f>F51/1.16</f>
        <v/>
      </c>
      <c r="F51" s="485">
        <f>D51*0.7</f>
        <v/>
      </c>
      <c r="I51" s="486" t="n"/>
    </row>
    <row r="52">
      <c r="A52" s="53" t="inlineStr">
        <is>
          <t>MERCADO LIBRE</t>
        </is>
      </c>
      <c r="B52" s="55" t="inlineStr">
        <is>
          <t>JUSTOMEGA-3 110 GOMAS</t>
        </is>
      </c>
      <c r="C52" s="482">
        <f>D52/1.16</f>
        <v/>
      </c>
      <c r="D52" s="482" t="n">
        <v>390</v>
      </c>
      <c r="E52" s="485">
        <f>F52/1.16</f>
        <v/>
      </c>
      <c r="F52" s="485">
        <f>D52*0.7</f>
        <v/>
      </c>
      <c r="H52" s="486" t="n"/>
      <c r="I52" s="486" t="n"/>
      <c r="J52" s="486" t="n"/>
    </row>
    <row r="53">
      <c r="A53" s="53" t="inlineStr">
        <is>
          <t>MERCADO LIBRE</t>
        </is>
      </c>
      <c r="B53" s="55" t="inlineStr">
        <is>
          <t>PROBIOTICOS GUMMYCARE 60 GOMAS</t>
        </is>
      </c>
      <c r="C53" s="482">
        <f>D53/1.16</f>
        <v/>
      </c>
      <c r="D53" s="482" t="n">
        <v>375</v>
      </c>
      <c r="E53" s="485">
        <f>F53/1.16</f>
        <v/>
      </c>
      <c r="F53" s="485">
        <f>D53*0.7</f>
        <v/>
      </c>
    </row>
    <row r="54">
      <c r="A54" s="53" t="inlineStr">
        <is>
          <t>MERCADO LIBRE</t>
        </is>
      </c>
      <c r="B54" s="55" t="inlineStr">
        <is>
          <t>Kit De Colágeno Hidrolizado: Polvo + Gomitas + Tabletas</t>
        </is>
      </c>
      <c r="C54" s="482">
        <f>D54/1.16</f>
        <v/>
      </c>
      <c r="D54" s="482" t="n">
        <v>1047.6</v>
      </c>
      <c r="E54" s="555" t="inlineStr">
        <is>
          <t>-</t>
        </is>
      </c>
      <c r="F54" s="555" t="inlineStr">
        <is>
          <t>-</t>
        </is>
      </c>
    </row>
    <row r="55">
      <c r="A55" s="53" t="inlineStr">
        <is>
          <t>MERCADO LIBRE</t>
        </is>
      </c>
      <c r="B55" s="58" t="inlineStr">
        <is>
          <t>KIT GOMITAS</t>
        </is>
      </c>
      <c r="C55" s="482">
        <f>D55/1.16</f>
        <v/>
      </c>
      <c r="D55" s="482" t="n">
        <v>1070.11</v>
      </c>
      <c r="E55" s="555" t="inlineStr">
        <is>
          <t>-</t>
        </is>
      </c>
      <c r="F55" s="555" t="inlineStr">
        <is>
          <t>-</t>
        </is>
      </c>
    </row>
    <row r="56">
      <c r="A56" s="53" t="inlineStr">
        <is>
          <t>MERCADO LIBRE</t>
        </is>
      </c>
      <c r="B56" s="58" t="inlineStr">
        <is>
          <t>Kit Gomitas De Colágeno + Biotina</t>
        </is>
      </c>
      <c r="C56" s="482">
        <f>D56/1.16</f>
        <v/>
      </c>
      <c r="D56" s="482" t="n">
        <v>645.0599999999999</v>
      </c>
      <c r="E56" s="555" t="inlineStr">
        <is>
          <t>-</t>
        </is>
      </c>
      <c r="F56" s="555" t="inlineStr">
        <is>
          <t>-</t>
        </is>
      </c>
    </row>
    <row r="57">
      <c r="A57" s="53" t="inlineStr">
        <is>
          <t>MERCADO LIBRE</t>
        </is>
      </c>
      <c r="B57" s="58" t="inlineStr">
        <is>
          <t>PACK GLUCOSAMINA 240 2PZS</t>
        </is>
      </c>
      <c r="C57" s="482">
        <f>D57/1.16</f>
        <v/>
      </c>
      <c r="D57" s="482" t="n">
        <v>1134.31</v>
      </c>
      <c r="E57" s="555" t="inlineStr">
        <is>
          <t>-</t>
        </is>
      </c>
      <c r="F57" s="555" t="inlineStr">
        <is>
          <t>-</t>
        </is>
      </c>
    </row>
    <row r="58">
      <c r="A58" s="53" t="inlineStr">
        <is>
          <t>MERCADO LIBRE</t>
        </is>
      </c>
      <c r="B58" s="58" t="inlineStr">
        <is>
          <t>PACK BIOTINA 110 GOMAS 2PZS</t>
        </is>
      </c>
      <c r="C58" s="482">
        <f>D58/1.16</f>
        <v/>
      </c>
      <c r="D58" s="482" t="n">
        <v>841.71</v>
      </c>
      <c r="E58" s="555" t="inlineStr">
        <is>
          <t>-</t>
        </is>
      </c>
      <c r="F58" s="555" t="inlineStr">
        <is>
          <t>-</t>
        </is>
      </c>
    </row>
    <row r="59">
      <c r="A59" s="53" t="inlineStr">
        <is>
          <t>MERCADO LIBRE</t>
        </is>
      </c>
      <c r="B59" s="58" t="inlineStr">
        <is>
          <t>PACK JUSTCOLLAGEN 111 GOMAS 2PZS</t>
        </is>
      </c>
      <c r="C59" s="482">
        <f>D59/1.16</f>
        <v/>
      </c>
      <c r="D59" s="482" t="n">
        <v>741.01</v>
      </c>
      <c r="E59" s="555" t="inlineStr">
        <is>
          <t>-</t>
        </is>
      </c>
      <c r="F59" s="555" t="inlineStr">
        <is>
          <t>-</t>
        </is>
      </c>
    </row>
    <row r="60">
      <c r="A60" s="53" t="inlineStr">
        <is>
          <t>MERCADO LIBRE</t>
        </is>
      </c>
      <c r="B60" s="58" t="inlineStr">
        <is>
          <t>Kit Probióticos + Omega, 120 Gomitas</t>
        </is>
      </c>
      <c r="C60" s="482">
        <f>D60/1.16</f>
        <v/>
      </c>
      <c r="D60" s="482" t="n">
        <v>549.1</v>
      </c>
      <c r="E60" s="555" t="inlineStr">
        <is>
          <t>-</t>
        </is>
      </c>
      <c r="F60" s="555" t="inlineStr">
        <is>
          <t>-</t>
        </is>
      </c>
    </row>
    <row r="61">
      <c r="A61" s="53" t="inlineStr">
        <is>
          <t>MERCADO LIBRE</t>
        </is>
      </c>
      <c r="B61" s="55" t="inlineStr">
        <is>
          <t>COLÁGENO+BIOTINA 120 GOMAS</t>
        </is>
      </c>
      <c r="C61" s="482">
        <f>D61/1.16</f>
        <v/>
      </c>
      <c r="D61" s="482" t="n">
        <v>288</v>
      </c>
      <c r="E61" s="485">
        <f>F61/1.16</f>
        <v/>
      </c>
      <c r="F61" s="485">
        <f>D61*0.7</f>
        <v/>
      </c>
    </row>
    <row r="62">
      <c r="A62" s="53" t="inlineStr">
        <is>
          <t>MERCADO LIBRE</t>
        </is>
      </c>
      <c r="B62" s="58" t="inlineStr">
        <is>
          <t>PROBIÓTICOS+FIBRA 120 GOMAS</t>
        </is>
      </c>
      <c r="C62" s="482">
        <f>D62/1.16</f>
        <v/>
      </c>
      <c r="D62" s="482" t="n">
        <v>289</v>
      </c>
      <c r="E62" s="485">
        <f>F62/1.16</f>
        <v/>
      </c>
      <c r="F62" s="485">
        <f>D62*0.7</f>
        <v/>
      </c>
    </row>
    <row r="63">
      <c r="A63" s="53" t="inlineStr">
        <is>
          <t>MERCADO LIBRE</t>
        </is>
      </c>
      <c r="B63" s="204" t="inlineStr">
        <is>
          <t>OMEGA3 DHA 120 GOMAS</t>
        </is>
      </c>
      <c r="C63" s="482">
        <f>D63/1.16</f>
        <v/>
      </c>
      <c r="D63" s="482" t="n">
        <v>289</v>
      </c>
      <c r="E63" s="485">
        <f>F63/1.16</f>
        <v/>
      </c>
      <c r="F63" s="485">
        <f>D63*0.7</f>
        <v/>
      </c>
    </row>
    <row r="64" ht="15" customFormat="1" customHeight="1" s="199" thickBot="1">
      <c r="A64" s="203" t="inlineStr">
        <is>
          <t>MERCADO LIBRE</t>
        </is>
      </c>
      <c r="B64" s="202" t="inlineStr">
        <is>
          <t>BIOTINA 120 GOMAS</t>
        </is>
      </c>
      <c r="C64" s="487">
        <f>D64/1.16</f>
        <v/>
      </c>
      <c r="D64" s="487" t="n">
        <v>289</v>
      </c>
      <c r="E64" s="489">
        <f>F64/1.16</f>
        <v/>
      </c>
      <c r="F64" s="489">
        <f>D64*0.7</f>
        <v/>
      </c>
    </row>
    <row r="65">
      <c r="A65" s="49" t="inlineStr">
        <is>
          <t>WEB</t>
        </is>
      </c>
      <c r="B65" s="51" t="inlineStr">
        <is>
          <t>COLAGENO EN POLVO 210 GR</t>
        </is>
      </c>
      <c r="C65" s="482">
        <f>D65/1.16</f>
        <v/>
      </c>
      <c r="D65" s="482" t="n">
        <v>349</v>
      </c>
      <c r="E65" s="485">
        <f>F65/1.16</f>
        <v/>
      </c>
      <c r="F65" s="485">
        <f>D65*0.7</f>
        <v/>
      </c>
    </row>
    <row r="66">
      <c r="A66" s="53" t="inlineStr">
        <is>
          <t>WEB</t>
        </is>
      </c>
      <c r="B66" s="55" t="inlineStr">
        <is>
          <t>COLAGENO TIPO II 90 CAPS</t>
        </is>
      </c>
      <c r="C66" s="482">
        <f>D66/1.16</f>
        <v/>
      </c>
      <c r="D66" s="482" t="n">
        <v>1059</v>
      </c>
      <c r="E66" s="485">
        <f>F66/1.16</f>
        <v/>
      </c>
      <c r="F66" s="485">
        <f>D66*0.7</f>
        <v/>
      </c>
    </row>
    <row r="67">
      <c r="A67" s="53" t="inlineStr">
        <is>
          <t>WEB</t>
        </is>
      </c>
      <c r="B67" s="55" t="inlineStr">
        <is>
          <t>COLAGENO TIPO II 30 CAPS</t>
        </is>
      </c>
      <c r="C67" s="482">
        <f>D67/1.16</f>
        <v/>
      </c>
      <c r="D67" s="482" t="n">
        <v>509</v>
      </c>
      <c r="E67" s="485">
        <f>F67/1.16</f>
        <v/>
      </c>
      <c r="F67" s="485">
        <f>D67*0.7</f>
        <v/>
      </c>
    </row>
    <row r="68">
      <c r="A68" s="53" t="inlineStr">
        <is>
          <t>WEB</t>
        </is>
      </c>
      <c r="B68" s="55" t="inlineStr">
        <is>
          <t>GLUCOSAMINA / CONDROITINA TIBURON 160 TA</t>
        </is>
      </c>
      <c r="C68" s="482">
        <f>D68/1.16</f>
        <v/>
      </c>
      <c r="D68" s="482" t="n">
        <v>499</v>
      </c>
      <c r="E68" s="485">
        <f>F68/1.16</f>
        <v/>
      </c>
      <c r="F68" s="485">
        <f>D68*0.7</f>
        <v/>
      </c>
    </row>
    <row r="69">
      <c r="A69" s="53" t="inlineStr">
        <is>
          <t>WEB</t>
        </is>
      </c>
      <c r="B69" s="55" t="inlineStr">
        <is>
          <t>GLUCOSAMINA / CONDROITINA TIBURON 240 TA</t>
        </is>
      </c>
      <c r="C69" s="482">
        <f>D69/1.16</f>
        <v/>
      </c>
      <c r="D69" s="482" t="n">
        <v>595</v>
      </c>
      <c r="E69" s="485">
        <f>F69/1.16</f>
        <v/>
      </c>
      <c r="F69" s="485">
        <f>D69*0.7</f>
        <v/>
      </c>
    </row>
    <row r="70">
      <c r="A70" s="53" t="inlineStr">
        <is>
          <t>WEB</t>
        </is>
      </c>
      <c r="B70" s="55" t="inlineStr">
        <is>
          <t>GLUCOSAMINA / CONDROITINA BOVINO 410 TAB</t>
        </is>
      </c>
      <c r="C70" s="482">
        <f>D70/1.16</f>
        <v/>
      </c>
      <c r="D70" s="482" t="n">
        <v>940</v>
      </c>
      <c r="E70" s="485">
        <f>F70/1.16</f>
        <v/>
      </c>
      <c r="F70" s="485">
        <f>D70*0.7</f>
        <v/>
      </c>
    </row>
    <row r="71">
      <c r="A71" s="53" t="inlineStr">
        <is>
          <t>WEB</t>
        </is>
      </c>
      <c r="B71" s="55" t="inlineStr">
        <is>
          <t>JUSTBIOH 110 GOMAS</t>
        </is>
      </c>
      <c r="C71" s="482">
        <f>D71/1.16</f>
        <v/>
      </c>
      <c r="D71" s="482" t="n">
        <v>441</v>
      </c>
      <c r="E71" s="485">
        <f>F71/1.16</f>
        <v/>
      </c>
      <c r="F71" s="485">
        <f>D71*0.7</f>
        <v/>
      </c>
    </row>
    <row r="72">
      <c r="A72" s="53" t="inlineStr">
        <is>
          <t>WEB</t>
        </is>
      </c>
      <c r="B72" s="55" t="inlineStr">
        <is>
          <t>JUSTBIOTICS 110 GOMAS</t>
        </is>
      </c>
      <c r="C72" s="482">
        <f>D72/1.16</f>
        <v/>
      </c>
      <c r="D72" s="482" t="n">
        <v>407</v>
      </c>
      <c r="E72" s="485">
        <f>F72/1.16</f>
        <v/>
      </c>
      <c r="F72" s="485">
        <f>D72*0.7</f>
        <v/>
      </c>
    </row>
    <row r="73">
      <c r="A73" s="53" t="inlineStr">
        <is>
          <t>WEB</t>
        </is>
      </c>
      <c r="B73" s="55" t="inlineStr">
        <is>
          <t>JUSTCETRUX 180</t>
        </is>
      </c>
      <c r="C73" s="552" t="n">
        <v>206.035</v>
      </c>
      <c r="D73" s="482" t="n">
        <v>199</v>
      </c>
      <c r="E73" s="485">
        <f>F73/1.16</f>
        <v/>
      </c>
      <c r="F73" s="485">
        <f>D73*0.7</f>
        <v/>
      </c>
    </row>
    <row r="74">
      <c r="A74" s="53" t="inlineStr">
        <is>
          <t>WEB</t>
        </is>
      </c>
      <c r="B74" s="55" t="inlineStr">
        <is>
          <t>JUSTCETRUX 60</t>
        </is>
      </c>
      <c r="C74" s="552" t="n">
        <v>105.17</v>
      </c>
      <c r="D74" s="482" t="n">
        <v>89</v>
      </c>
      <c r="E74" s="555" t="inlineStr">
        <is>
          <t>-</t>
        </is>
      </c>
      <c r="F74" s="555" t="inlineStr">
        <is>
          <t>-</t>
        </is>
      </c>
    </row>
    <row r="75">
      <c r="A75" s="53" t="inlineStr">
        <is>
          <t>WEB</t>
        </is>
      </c>
      <c r="B75" s="55" t="inlineStr">
        <is>
          <t>JUSTCOLLAGEN 111 GOMAS</t>
        </is>
      </c>
      <c r="C75" s="482">
        <f>D75/1.16</f>
        <v/>
      </c>
      <c r="D75" s="482" t="n">
        <v>389</v>
      </c>
      <c r="E75" s="485">
        <f>F75/1.16</f>
        <v/>
      </c>
      <c r="F75" s="485">
        <f>D75*0.7</f>
        <v/>
      </c>
    </row>
    <row r="76">
      <c r="A76" s="53" t="inlineStr">
        <is>
          <t>WEB</t>
        </is>
      </c>
      <c r="B76" s="55" t="inlineStr">
        <is>
          <t>JUSTCOLLAGEN 180 TABS</t>
        </is>
      </c>
      <c r="C76" s="482">
        <f>D76/1.16</f>
        <v/>
      </c>
      <c r="D76" s="482" t="n">
        <v>395</v>
      </c>
      <c r="E76" s="485">
        <f>F76/1.16</f>
        <v/>
      </c>
      <c r="F76" s="485">
        <f>D76*0.7</f>
        <v/>
      </c>
    </row>
    <row r="77">
      <c r="A77" s="53" t="inlineStr">
        <is>
          <t>WEB</t>
        </is>
      </c>
      <c r="B77" s="55" t="inlineStr">
        <is>
          <t>JUSTCOLLAGEN 90 TABS</t>
        </is>
      </c>
      <c r="C77" s="482">
        <f>D77/1.16</f>
        <v/>
      </c>
      <c r="D77" s="482" t="n">
        <v>220</v>
      </c>
      <c r="E77" s="485">
        <f>F77/1.16</f>
        <v/>
      </c>
      <c r="F77" s="485">
        <f>D77*0.7</f>
        <v/>
      </c>
    </row>
    <row r="78">
      <c r="A78" s="53" t="inlineStr">
        <is>
          <t>WEB</t>
        </is>
      </c>
      <c r="B78" s="55" t="inlineStr">
        <is>
          <t>JUSTFX 120 CAPS</t>
        </is>
      </c>
      <c r="C78" s="482">
        <f>D78/1.16</f>
        <v/>
      </c>
      <c r="D78" s="482" t="n">
        <v>505</v>
      </c>
      <c r="E78" s="485">
        <f>F78/1.16</f>
        <v/>
      </c>
      <c r="F78" s="485">
        <f>D78*0.7</f>
        <v/>
      </c>
    </row>
    <row r="79">
      <c r="A79" s="53" t="inlineStr">
        <is>
          <t>WEB</t>
        </is>
      </c>
      <c r="B79" s="55" t="inlineStr">
        <is>
          <t>JUSTFX 90 CAPS</t>
        </is>
      </c>
      <c r="C79" s="482">
        <f>D79/1.16</f>
        <v/>
      </c>
      <c r="D79" s="482" t="n">
        <v>369</v>
      </c>
      <c r="E79" s="485">
        <f>F79/1.16</f>
        <v/>
      </c>
      <c r="F79" s="485">
        <f>D79*0.7</f>
        <v/>
      </c>
    </row>
    <row r="80">
      <c r="A80" s="53" t="inlineStr">
        <is>
          <t>WEB</t>
        </is>
      </c>
      <c r="B80" s="198" t="inlineStr">
        <is>
          <t>JUSTOLFOCUS 90 CAPS</t>
        </is>
      </c>
      <c r="C80" s="482">
        <f>D80/1.16</f>
        <v/>
      </c>
      <c r="D80" s="482" t="n">
        <v>489</v>
      </c>
      <c r="E80" s="485">
        <f>F80/1.16</f>
        <v/>
      </c>
      <c r="F80" s="485">
        <f>D80*0.7</f>
        <v/>
      </c>
    </row>
    <row r="81">
      <c r="A81" s="53" t="inlineStr">
        <is>
          <t>WEB</t>
        </is>
      </c>
      <c r="B81" s="55" t="inlineStr">
        <is>
          <t>JUSTCALOSTRO 30 CAPS</t>
        </is>
      </c>
      <c r="C81" s="482">
        <f>D81/1.16</f>
        <v/>
      </c>
      <c r="D81" s="482" t="n">
        <v>167</v>
      </c>
      <c r="E81" s="555" t="inlineStr">
        <is>
          <t>-</t>
        </is>
      </c>
      <c r="F81" s="555" t="inlineStr">
        <is>
          <t>-</t>
        </is>
      </c>
    </row>
    <row r="82">
      <c r="A82" s="53" t="inlineStr">
        <is>
          <t>WEB</t>
        </is>
      </c>
      <c r="B82" s="55" t="inlineStr">
        <is>
          <t>JUSTOMEGA-3 110 GOMAS</t>
        </is>
      </c>
      <c r="C82" s="482">
        <f>D82/1.16</f>
        <v/>
      </c>
      <c r="D82" s="482" t="n">
        <v>390</v>
      </c>
      <c r="E82" s="485">
        <f>F82/1.16</f>
        <v/>
      </c>
      <c r="F82" s="485">
        <f>D82*0.7</f>
        <v/>
      </c>
    </row>
    <row r="83">
      <c r="A83" s="53" t="inlineStr">
        <is>
          <t>WEB</t>
        </is>
      </c>
      <c r="B83" s="55" t="inlineStr">
        <is>
          <t>PROBIOTICOS GUMMYCARE 60 GOMAS</t>
        </is>
      </c>
      <c r="C83" s="482">
        <f>D83/1.16</f>
        <v/>
      </c>
      <c r="D83" s="482" t="n">
        <v>349</v>
      </c>
      <c r="E83" s="485">
        <f>F83/1.16</f>
        <v/>
      </c>
      <c r="F83" s="485">
        <f>D83*0.7</f>
        <v/>
      </c>
    </row>
    <row r="84">
      <c r="A84" s="53" t="inlineStr">
        <is>
          <t>WEB</t>
        </is>
      </c>
      <c r="B84" s="55" t="inlineStr">
        <is>
          <t>SISTEMA BELLEZA (-10%)</t>
        </is>
      </c>
      <c r="C84" s="482">
        <f>D84/1.16</f>
        <v/>
      </c>
      <c r="D84" s="482" t="n">
        <v>1019.7</v>
      </c>
      <c r="E84" s="555" t="inlineStr">
        <is>
          <t>-</t>
        </is>
      </c>
      <c r="F84" s="555" t="inlineStr">
        <is>
          <t>-</t>
        </is>
      </c>
    </row>
    <row r="85">
      <c r="A85" s="53" t="inlineStr">
        <is>
          <t>WEB</t>
        </is>
      </c>
      <c r="B85" s="55" t="inlineStr">
        <is>
          <t>SISTEMA DEPORTE (-10%)</t>
        </is>
      </c>
      <c r="C85" s="482">
        <f>D85/1.16</f>
        <v/>
      </c>
      <c r="D85" s="482" t="n">
        <v>1218.6</v>
      </c>
      <c r="E85" s="555" t="inlineStr">
        <is>
          <t>-</t>
        </is>
      </c>
      <c r="F85" s="555" t="inlineStr">
        <is>
          <t>-</t>
        </is>
      </c>
    </row>
    <row r="86">
      <c r="A86" s="53" t="inlineStr">
        <is>
          <t>WEB</t>
        </is>
      </c>
      <c r="B86" s="55" t="inlineStr">
        <is>
          <t>SISTEMA BEST SELLER (-10%)</t>
        </is>
      </c>
      <c r="C86" s="556">
        <f>D86/1.16</f>
        <v/>
      </c>
      <c r="D86" s="557" t="n">
        <v>810</v>
      </c>
      <c r="E86" s="555" t="inlineStr">
        <is>
          <t>-</t>
        </is>
      </c>
      <c r="F86" s="555" t="inlineStr">
        <is>
          <t>-</t>
        </is>
      </c>
    </row>
    <row r="87">
      <c r="A87" s="53" t="inlineStr">
        <is>
          <t>WEB</t>
        </is>
      </c>
      <c r="B87" s="55" t="inlineStr">
        <is>
          <t>PACK 2 PZS COLAGENO TIPO II</t>
        </is>
      </c>
      <c r="C87" s="556">
        <f>D87/1.16</f>
        <v/>
      </c>
      <c r="D87" s="557" t="n">
        <v>2012.1</v>
      </c>
      <c r="E87" s="555" t="inlineStr">
        <is>
          <t>-</t>
        </is>
      </c>
      <c r="F87" s="555" t="inlineStr">
        <is>
          <t>-</t>
        </is>
      </c>
    </row>
    <row r="88">
      <c r="A88" s="53" t="inlineStr">
        <is>
          <t>WEB</t>
        </is>
      </c>
      <c r="B88" s="55" t="inlineStr">
        <is>
          <t xml:space="preserve">PACK 2 PZS GLUCOSAMINA 240 </t>
        </is>
      </c>
      <c r="C88" s="556">
        <f>D88/1.16</f>
        <v/>
      </c>
      <c r="D88" s="557" t="n">
        <v>1130.5</v>
      </c>
      <c r="E88" s="555" t="inlineStr">
        <is>
          <t>-</t>
        </is>
      </c>
      <c r="F88" s="555" t="inlineStr">
        <is>
          <t>-</t>
        </is>
      </c>
    </row>
    <row r="89">
      <c r="A89" s="53" t="inlineStr">
        <is>
          <t>WEB</t>
        </is>
      </c>
      <c r="B89" s="55" t="inlineStr">
        <is>
          <t>PACK 2 PZS JUSTBIOH 110 GOMAS</t>
        </is>
      </c>
      <c r="C89" s="556">
        <f>D89/1.16</f>
        <v/>
      </c>
      <c r="D89" s="557" t="n">
        <v>837.89</v>
      </c>
      <c r="E89" s="555" t="inlineStr">
        <is>
          <t>-</t>
        </is>
      </c>
      <c r="F89" s="555" t="inlineStr">
        <is>
          <t>-</t>
        </is>
      </c>
    </row>
    <row r="90">
      <c r="A90" s="53" t="inlineStr">
        <is>
          <t>WEB</t>
        </is>
      </c>
      <c r="B90" s="55" t="inlineStr">
        <is>
          <t>PACK 2 PZS JUSTCOLLAGEN 111 GOMAS</t>
        </is>
      </c>
      <c r="C90" s="556">
        <f>D90/1.16</f>
        <v/>
      </c>
      <c r="D90" s="557" t="n">
        <v>739.1</v>
      </c>
      <c r="E90" s="555" t="inlineStr">
        <is>
          <t>-</t>
        </is>
      </c>
      <c r="F90" s="555" t="inlineStr">
        <is>
          <t>-</t>
        </is>
      </c>
    </row>
    <row r="91">
      <c r="A91" s="53" t="inlineStr">
        <is>
          <t>WEB</t>
        </is>
      </c>
      <c r="B91" s="55" t="inlineStr">
        <is>
          <t>PACK 2 PZS JUSTCOLLAGEN 180</t>
        </is>
      </c>
      <c r="C91" s="556">
        <f>D91/1.16</f>
        <v/>
      </c>
      <c r="D91" s="557" t="n">
        <v>750.51</v>
      </c>
      <c r="E91" s="555" t="inlineStr">
        <is>
          <t>-</t>
        </is>
      </c>
      <c r="F91" s="555" t="inlineStr">
        <is>
          <t>-</t>
        </is>
      </c>
    </row>
    <row r="92">
      <c r="A92" s="53" t="inlineStr">
        <is>
          <t>WEB</t>
        </is>
      </c>
      <c r="B92" s="55" t="inlineStr">
        <is>
          <t>PACK 2 PZS JUSTFX 120 CAPS</t>
        </is>
      </c>
      <c r="C92" s="556">
        <f>D92/1.16</f>
        <v/>
      </c>
      <c r="D92" s="557" t="n">
        <v>959.5</v>
      </c>
      <c r="E92" s="555" t="inlineStr">
        <is>
          <t>-</t>
        </is>
      </c>
      <c r="F92" s="555" t="inlineStr">
        <is>
          <t>-</t>
        </is>
      </c>
    </row>
    <row r="93">
      <c r="A93" s="53" t="inlineStr">
        <is>
          <t>WEB</t>
        </is>
      </c>
      <c r="B93" s="55" t="inlineStr">
        <is>
          <t>PACK 2 PZS JUSTOMEGA3 110 GOMAS</t>
        </is>
      </c>
      <c r="C93" s="556">
        <f>D93/1.16</f>
        <v/>
      </c>
      <c r="D93" s="557" t="n">
        <v>741</v>
      </c>
      <c r="E93" s="555" t="inlineStr">
        <is>
          <t>-</t>
        </is>
      </c>
      <c r="F93" s="555" t="inlineStr">
        <is>
          <t>-</t>
        </is>
      </c>
    </row>
    <row r="94">
      <c r="A94" s="53" t="inlineStr">
        <is>
          <t>WEB</t>
        </is>
      </c>
      <c r="B94" s="55" t="inlineStr">
        <is>
          <t>KIT PROBIOTICOS + OMEGA 120 GOMAS</t>
        </is>
      </c>
      <c r="C94" s="556">
        <f>D94/1.16</f>
        <v/>
      </c>
      <c r="D94" s="557" t="n">
        <v>507.29</v>
      </c>
      <c r="E94" s="555" t="inlineStr">
        <is>
          <t>-</t>
        </is>
      </c>
      <c r="F94" s="555" t="inlineStr">
        <is>
          <t>-</t>
        </is>
      </c>
    </row>
    <row r="95">
      <c r="A95" s="53" t="inlineStr">
        <is>
          <t>WEB</t>
        </is>
      </c>
      <c r="B95" s="55" t="inlineStr">
        <is>
          <t>KIT GOMITAS DE COLÁGENO + BIOTINA</t>
        </is>
      </c>
      <c r="C95" s="556">
        <f>D95/1.16</f>
        <v/>
      </c>
      <c r="D95" s="557" t="n">
        <v>623.2</v>
      </c>
      <c r="E95" s="555" t="inlineStr">
        <is>
          <t>-</t>
        </is>
      </c>
      <c r="F95" s="555" t="inlineStr">
        <is>
          <t>-</t>
        </is>
      </c>
    </row>
  </sheetData>
  <autoFilter ref="A2:F86"/>
  <mergeCells count="2">
    <mergeCell ref="A1:D1"/>
    <mergeCell ref="E1:F1"/>
  </mergeCells>
  <conditionalFormatting sqref="C44:C45 C86:C95">
    <cfRule type="cellIs" priority="1" operator="greaterThan" dxfId="0">
      <formula>B44</formula>
    </cfRule>
  </conditionalFormatting>
  <conditionalFormatting sqref="C73:C74">
    <cfRule type="cellIs" priority="2" operator="greaterThan" dxfId="0">
      <formula>B73</formula>
    </cfRule>
  </conditionalFormatting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FechaHora</t>
        </is>
      </c>
      <c r="B1" t="inlineStr">
        <is>
          <t>OrdenVenta</t>
        </is>
      </c>
      <c r="C1" t="inlineStr">
        <is>
          <t>ReferenciaCliente</t>
        </is>
      </c>
      <c r="D1" t="inlineStr">
        <is>
          <t>Cliente</t>
        </is>
      </c>
      <c r="E1" t="inlineStr">
        <is>
          <t>DescripcionPedido</t>
        </is>
      </c>
      <c r="F1" t="inlineStr">
        <is>
          <t>Codigo_Articulo</t>
        </is>
      </c>
      <c r="G1" t="inlineStr">
        <is>
          <t>Cantidad</t>
        </is>
      </c>
      <c r="H1" t="inlineStr">
        <is>
          <t>PrecioUnitario</t>
        </is>
      </c>
      <c r="I1" t="inlineStr">
        <is>
          <t>Porcentaje de descuento</t>
        </is>
      </c>
      <c r="J1" t="inlineStr">
        <is>
          <t>Fecha de envio</t>
        </is>
      </c>
      <c r="K1" t="inlineStr">
        <is>
          <t>Comentario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Yire D. Mena Limon</dc:creator>
  <dcterms:created xsi:type="dcterms:W3CDTF">2021-03-11T21:10:07Z</dcterms:created>
  <dcterms:modified xsi:type="dcterms:W3CDTF">2026-06-09T14:56:39Z</dcterms:modified>
  <cp:lastModifiedBy>Becario QR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0x0101004BAFB63AA68D744FBB6A450AC3C9ED89</vt:lpwstr>
  </property>
</Properties>
</file>